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Summary" sheetId="2" state="visible" r:id="rId2"/>
    <sheet xmlns:r="http://schemas.openxmlformats.org/officeDocument/2006/relationships" name="Test Cases" sheetId="3" state="visible" r:id="rId3"/>
    <sheet xmlns:r="http://schemas.openxmlformats.org/officeDocument/2006/relationships" name="Test Data" sheetId="4" state="visible" r:id="rId4"/>
    <sheet xmlns:r="http://schemas.openxmlformats.org/officeDocument/2006/relationships" name="Defect Log" sheetId="5" state="visible" r:id="rId5"/>
  </sheets>
  <definedNames>
    <definedName name="_xlnm._FilterDatabase" localSheetId="2" hidden="1">'Test Cases'!$A$1:$O$413</definedName>
    <definedName name="_xlnm._FilterDatabase" localSheetId="4" hidden="1">'Defect Log'!$A$4:$L$204</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13">
    <font>
      <name val="Calibri"/>
      <charset val="1"/>
      <family val="2"/>
      <color theme="1"/>
      <sz val="11"/>
    </font>
    <font>
      <name val="Arial"/>
      <family val="0"/>
      <sz val="10"/>
    </font>
    <font>
      <name val="Arial"/>
      <family val="0"/>
      <sz val="10"/>
    </font>
    <font>
      <name val="Arial"/>
      <family val="0"/>
      <sz val="10"/>
    </font>
    <font>
      <name val="Arial"/>
      <charset val="1"/>
      <family val="0"/>
      <b val="1"/>
      <sz val="16"/>
    </font>
    <font>
      <name val="Arial"/>
      <charset val="1"/>
      <family val="0"/>
      <i val="1"/>
      <sz val="10"/>
    </font>
    <font>
      <name val="Arial"/>
      <charset val="1"/>
      <family val="0"/>
      <b val="1"/>
      <sz val="10"/>
    </font>
    <font>
      <name val="Arial"/>
      <charset val="1"/>
      <family val="0"/>
      <sz val="10"/>
    </font>
    <font>
      <name val="Arial"/>
      <charset val="1"/>
      <family val="0"/>
      <b val="1"/>
      <sz val="11"/>
    </font>
    <font>
      <name val="Arial"/>
      <charset val="1"/>
      <family val="0"/>
      <b val="1"/>
      <sz val="14"/>
    </font>
    <font>
      <name val="Arial"/>
      <charset val="1"/>
      <family val="0"/>
      <i val="1"/>
      <sz val="9"/>
    </font>
    <font>
      <name val="Arial"/>
      <charset val="1"/>
      <family val="0"/>
      <b val="1"/>
      <color rgb="FFFFFFFF"/>
      <sz val="10"/>
    </font>
    <font>
      <name val="Arial"/>
      <charset val="1"/>
      <family val="0"/>
      <i val="1"/>
      <color rgb="FF7F7F7F"/>
      <sz val="10"/>
    </font>
  </fonts>
  <fills count="5">
    <fill>
      <patternFill/>
    </fill>
    <fill>
      <patternFill patternType="gray125"/>
    </fill>
    <fill>
      <patternFill patternType="solid">
        <fgColor rgb="FFD9E2F3"/>
        <bgColor rgb="FFEDEDED"/>
      </patternFill>
    </fill>
    <fill>
      <patternFill patternType="solid">
        <fgColor rgb="FFFFF9DB"/>
        <bgColor rgb="FFFFFFFF"/>
      </patternFill>
    </fill>
    <fill>
      <patternFill patternType="solid">
        <fgColor rgb="FF1F3864"/>
        <bgColor rgb="FF333333"/>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3"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4" borderId="1" applyAlignment="1" pivotButton="0" quotePrefix="0" xfId="0">
      <alignment horizontal="center" vertical="center" wrapText="1"/>
    </xf>
    <xf numFmtId="0" fontId="7" fillId="0" borderId="1" applyAlignment="1" pivotButton="0" quotePrefix="0" xfId="0">
      <alignment horizontal="general" vertical="bottom"/>
    </xf>
    <xf numFmtId="0" fontId="7" fillId="0" borderId="1" applyAlignment="1" pivotButton="0" quotePrefix="0" xfId="0">
      <alignment horizontal="center" vertical="bottom"/>
    </xf>
    <xf numFmtId="9" fontId="7" fillId="0" borderId="1" applyAlignment="1" pivotButton="0" quotePrefix="0" xfId="0">
      <alignment horizontal="center" vertical="bottom"/>
    </xf>
    <xf numFmtId="0" fontId="6" fillId="2" borderId="1" applyAlignment="1" pivotButton="0" quotePrefix="0" xfId="0">
      <alignment horizontal="general" vertical="bottom"/>
    </xf>
    <xf numFmtId="0" fontId="6" fillId="2" borderId="1" applyAlignment="1" pivotButton="0" quotePrefix="0" xfId="0">
      <alignment horizontal="center" vertical="bottom"/>
    </xf>
    <xf numFmtId="9" fontId="6" fillId="2" borderId="1" applyAlignment="1" pivotButton="0" quotePrefix="0" xfId="0">
      <alignment horizontal="center"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164" fontId="7" fillId="3" borderId="1" applyAlignment="1" pivotButton="0" quotePrefix="0" xfId="0">
      <alignment horizontal="general" vertical="top" wrapText="1"/>
    </xf>
    <xf numFmtId="0" fontId="11" fillId="4" borderId="1" applyAlignment="1" pivotButton="0" quotePrefix="0" xfId="0">
      <alignment horizontal="general" vertical="bottom"/>
    </xf>
    <xf numFmtId="0" fontId="12"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3"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4" borderId="1" applyAlignment="1" pivotButton="0" quotePrefix="0" xfId="0">
      <alignment horizontal="center" vertical="center" wrapText="1"/>
    </xf>
    <xf numFmtId="0" fontId="7" fillId="0" borderId="1" applyAlignment="1" pivotButton="0" quotePrefix="0" xfId="0">
      <alignment horizontal="general" vertical="bottom"/>
    </xf>
    <xf numFmtId="0" fontId="7" fillId="0" borderId="1" applyAlignment="1" pivotButton="0" quotePrefix="0" xfId="0">
      <alignment horizontal="center" vertical="bottom"/>
    </xf>
    <xf numFmtId="9" fontId="7" fillId="0" borderId="1" applyAlignment="1" pivotButton="0" quotePrefix="0" xfId="0">
      <alignment horizontal="center" vertical="bottom"/>
    </xf>
    <xf numFmtId="0" fontId="6" fillId="2" borderId="1" applyAlignment="1" pivotButton="0" quotePrefix="0" xfId="0">
      <alignment horizontal="general" vertical="bottom"/>
    </xf>
    <xf numFmtId="0" fontId="6" fillId="2" borderId="1" applyAlignment="1" pivotButton="0" quotePrefix="0" xfId="0">
      <alignment horizontal="center" vertical="bottom"/>
    </xf>
    <xf numFmtId="9" fontId="6" fillId="2" borderId="1" applyAlignment="1" pivotButton="0" quotePrefix="0" xfId="0">
      <alignment horizontal="center"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164" fontId="7" fillId="3" borderId="1" applyAlignment="1" pivotButton="0" quotePrefix="0" xfId="0">
      <alignment horizontal="general" vertical="top" wrapText="1"/>
    </xf>
    <xf numFmtId="0" fontId="11" fillId="4" borderId="1" applyAlignment="1" pivotButton="0" quotePrefix="0" xfId="0">
      <alignment horizontal="general" vertical="bottom"/>
    </xf>
    <xf numFmtId="0" fontId="12" fillId="3"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F9DB"/>
          <bgColor rgb="FF000000"/>
        </patternFill>
      </fill>
    </dxf>
    <dxf>
      <fill>
        <patternFill patternType="solid">
          <fgColor rgb="FFEDEDED"/>
          <bgColor rgb="FF000000"/>
        </patternFill>
      </fill>
    </dxf>
    <dxf>
      <fill>
        <patternFill>
          <bgColor rgb="FFC6EFCE"/>
        </patternFill>
      </fill>
    </dxf>
    <dxf>
      <fill>
        <patternFill>
          <bgColor rgb="FFFFC7CE"/>
        </patternFill>
      </fill>
    </dxf>
    <dxf>
      <fill>
        <patternFill>
          <bgColor rgb="FFFFD9A8"/>
        </patternFill>
      </fill>
    </dxf>
    <dxf>
      <fill>
        <patternFill>
          <bgColor rgb="FFEDEDED"/>
        </patternFill>
      </fill>
    </dxf>
    <dxf>
      <font>
        <name val="Arial"/>
        <charset val="1"/>
        <family val="0"/>
        <color rgb="FF000000"/>
      </font>
    </dxf>
    <dxf>
      <fill>
        <patternFill patternType="solid">
          <fgColor rgb="FF7F7F7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9DB"/>
      <rgbColor rgb="FFEDEDED"/>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C7CE"/>
      <rgbColor rgb="FFCC99FF"/>
      <rgbColor rgb="FFFFD9A8"/>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18"/>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3" customWidth="1" style="23" min="1" max="1"/>
    <col width="28" customWidth="1" style="23" min="2" max="2"/>
    <col width="110" customWidth="1" style="23" min="3" max="3"/>
  </cols>
  <sheetData>
    <row r="1" ht="19.5" customHeight="1" s="24">
      <c r="B1" s="25" t="inlineStr">
        <is>
          <t>Eschool - Functional Test Plan</t>
        </is>
      </c>
    </row>
    <row r="2" ht="15" customHeight="1" s="24">
      <c r="B2" s="26" t="inlineStr">
        <is>
          <t>Scope: everything built so far (Oct 2026 build, includes Admissions 'pick an existing parent', Timetable)</t>
        </is>
      </c>
    </row>
    <row r="3"/>
    <row r="4" ht="15" customHeight="1" s="24">
      <c r="B4" s="27" t="inlineStr">
        <is>
          <t>Purpose</t>
        </is>
      </c>
      <c r="C4" s="28" t="inlineStr">
        <is>
          <t>Manual functional test of the completed modules. Work through the 'Test Cases' sheet top to bottom; each row is one check.</t>
        </is>
      </c>
    </row>
    <row r="5" ht="34.5" customHeight="1" s="24">
      <c r="B5" s="27" t="inlineStr">
        <is>
          <t>Modules covered</t>
        </is>
      </c>
      <c r="C5" s="28" t="inlineStr">
        <is>
          <t>Login &amp; Layout, Reusable Components, Class Sections, Subjects, Teachers, Parents, Admissions (incl. existing-parent picker), Students, Attendance, Documents, Users &amp; Staff, Roles &amp; Permissions, My Account, School Settings (incl. Masters &gt; Admission fees), Dashboard, role-based access, end-to-end flows, non-functional checks, Timetable (periods, class grid, Copy From, teacher view, clash rules).</t>
        </is>
      </c>
    </row>
    <row r="6" ht="23.25" customHeight="1" s="24">
      <c r="B6" s="27" t="inlineStr">
        <is>
          <t>NOT in scope</t>
        </is>
      </c>
      <c r="C6" s="28" t="inlineStr">
        <is>
          <t>Modules not built yet (Reports, Fees, Exams, Results, Library, Notices, PTM, Calendar, Transport, Helpdesk, etc.): the sidebar items open the dashboard on purpose. Student / Parent portal logins are not built.</t>
        </is>
      </c>
    </row>
    <row r="7" ht="23.25" customHeight="1" s="24">
      <c r="B7" s="27" t="inlineStr">
        <is>
          <t>Environment</t>
        </is>
      </c>
      <c r="C7" s="28" t="inlineStr">
        <is>
          <t>Web app: http://localhost:5173 - API: https://localhost:7100 - use a TEST database, never real data. Keep browser DevTools open (Console + Network): any red console error or HTTP 500 is a defect on its own.</t>
        </is>
      </c>
    </row>
    <row r="8" ht="23.25" customHeight="1" s="24">
      <c r="B8" s="27" t="inlineStr">
        <is>
          <t>Test data</t>
        </is>
      </c>
      <c r="C8" s="28" t="inlineStr">
        <is>
          <t>All test records should start with 'ZT' (e.g. 'ZT Class A') so they are easy to find and delete. See sheet 'Test Data' for the users to create and sample values.</t>
        </is>
      </c>
    </row>
    <row r="9" ht="34.5" customHeight="1" s="24">
      <c r="B9" s="27" t="inlineStr">
        <is>
          <t>How to execute</t>
        </is>
      </c>
      <c r="C9" s="28" t="inlineStr">
        <is>
          <t>1) Filter 'Test Cases' by Module (use the filter arrows in row 1). 2) Do the steps. 3) Fill the yellow columns: Actual Result (only when different or useful), Status, Tested By, Date, Defect ID, Comments. 4) For every Fail, add a row in 'Defect Log' and put its ID in the test row.</t>
        </is>
      </c>
    </row>
    <row r="10" ht="15" customHeight="1" s="24">
      <c r="B10" s="27" t="inlineStr">
        <is>
          <t>Status values</t>
        </is>
      </c>
      <c r="C10" s="28" t="inlineStr">
        <is>
          <t>Not Run (default) | Pass | Fail | Blocked (cannot test because of another defect) | N/A (not applicable)</t>
        </is>
      </c>
    </row>
    <row r="11" ht="23.25" customHeight="1" s="24">
      <c r="B11" s="27" t="inlineStr">
        <is>
          <t>Type / Priority</t>
        </is>
      </c>
      <c r="C11" s="28" t="inlineStr">
        <is>
          <t>Type: Functional, Validation (bad input), Negative (should be refused), Security (permissions / data exposure), UI, Exploratory (the correct behaviour is not fixed: describe what you see). Priority: High = core flow or security, run first; Medium; Low.</t>
        </is>
      </c>
    </row>
    <row r="12" ht="23.25" customHeight="1" s="24">
      <c r="B12" s="27" t="inlineStr">
        <is>
          <t>Roles</t>
        </is>
      </c>
      <c r="C12" s="28" t="inlineStr">
        <is>
          <t>Cases name the role to log in as. Admin sees everything. Clerk, Supervisor and Teacher are limited roles (create them in Users &amp; Staff; see 'Test Data'). 'Role without X' means create a custom role in Roles &amp; Permissions that lacks permission X.</t>
        </is>
      </c>
    </row>
    <row r="13" ht="34.5" customHeight="1" s="24">
      <c r="B13" s="27" t="inlineStr">
        <is>
          <t>Known limitations</t>
        </is>
      </c>
      <c r="C13" s="28" t="inlineStr">
        <is>
          <t>1) Attendance 'today' currently follows UTC, so between 00:00 and 04:00 Abu Dhabi time it can show yesterday (fix planned: F2). 2) Parent e-mail uniqueness is not enforced (PAR-14). 3) Lists load fully (no server paging yet): expect slowness only at very large volumes. 4) Fee, report-card and attendance-report buttons on students show 'not yet available'. 5) Students have no 'Deleted students' screen: Restore for students exists only in the API and cannot be reached from the app (a student with a class period cannot be deleted).</t>
        </is>
      </c>
    </row>
    <row r="14" ht="15" customHeight="1" s="24">
      <c r="B14" s="27" t="inlineStr">
        <is>
          <t>Summary</t>
        </is>
      </c>
      <c r="C14" s="28" t="inlineStr">
        <is>
          <t>The 'Summary' sheet counts results automatically from the Status column. Do not type in it.</t>
        </is>
      </c>
    </row>
    <row r="15"/>
    <row r="16" ht="15" customHeight="1" s="24">
      <c r="B16" s="29" t="inlineStr">
        <is>
          <t>Colour key</t>
        </is>
      </c>
    </row>
    <row r="17" ht="15" customHeight="1" s="24">
      <c r="B17" s="30" t="inlineStr">
        <is>
          <t>Yellow cells</t>
        </is>
      </c>
      <c r="C17" s="31" t="inlineStr">
        <is>
          <t>You fill these in (Actual Result, Status, Tested By, Date, Defect ID, Comments).</t>
        </is>
      </c>
    </row>
    <row r="18" ht="15" customHeight="1" s="24">
      <c r="B18" s="31" t="inlineStr">
        <is>
          <t>Status colours</t>
        </is>
      </c>
      <c r="C18" s="31" t="inlineStr">
        <is>
          <t>Pass = green, Fail = red, Blocked = orange, Not Run = grey (automatic).</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3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30" customWidth="1" style="23" min="1" max="1"/>
    <col width="10" customWidth="1" style="23" min="2" max="7"/>
    <col width="14" customWidth="1" style="23" min="8" max="8"/>
    <col width="20" customWidth="1" style="23" min="9" max="9"/>
  </cols>
  <sheetData>
    <row r="1" ht="17.25" customHeight="1" s="24">
      <c r="A1" s="32" t="inlineStr">
        <is>
          <t>Test Execution Summary</t>
        </is>
      </c>
    </row>
    <row r="2" ht="15" customHeight="1" s="24">
      <c r="A2" s="33" t="inlineStr">
        <is>
          <t>Calculated automatically from the Status column of 'Test Cases'.</t>
        </is>
      </c>
    </row>
    <row r="4" ht="31.5" customHeight="1" s="24">
      <c r="A4" s="34" t="inlineStr">
        <is>
          <t>Module</t>
        </is>
      </c>
      <c r="B4" s="34" t="inlineStr">
        <is>
          <t>Total</t>
        </is>
      </c>
      <c r="C4" s="34" t="inlineStr">
        <is>
          <t>Pass</t>
        </is>
      </c>
      <c r="D4" s="34" t="inlineStr">
        <is>
          <t>Fail</t>
        </is>
      </c>
      <c r="E4" s="34" t="inlineStr">
        <is>
          <t>Blocked</t>
        </is>
      </c>
      <c r="F4" s="34" t="inlineStr">
        <is>
          <t>N/A</t>
        </is>
      </c>
      <c r="G4" s="34" t="inlineStr">
        <is>
          <t>Not Run</t>
        </is>
      </c>
      <c r="H4" s="34" t="inlineStr">
        <is>
          <t>% Executed</t>
        </is>
      </c>
      <c r="I4" s="34" t="inlineStr">
        <is>
          <t>% Pass (of executed)</t>
        </is>
      </c>
    </row>
    <row r="5" ht="15" customHeight="1" s="24">
      <c r="A5" s="35" t="inlineStr">
        <is>
          <t>Login &amp; Layout</t>
        </is>
      </c>
      <c r="B5" s="36">
        <f>COUNTIF('Test Cases'!$B$2:$B$413,$A5)</f>
        <v/>
      </c>
      <c r="C5" s="36">
        <f>COUNTIFS('Test Cases'!$B$2:$B$413,$A5,'Test Cases'!$K$2:$K$413,"Pass")</f>
        <v/>
      </c>
      <c r="D5" s="36">
        <f>COUNTIFS('Test Cases'!$B$2:$B$413,$A5,'Test Cases'!$K$2:$K$413,"Fail")</f>
        <v/>
      </c>
      <c r="E5" s="36">
        <f>COUNTIFS('Test Cases'!$B$2:$B$413,$A5,'Test Cases'!$K$2:$K$413,"Blocked")</f>
        <v/>
      </c>
      <c r="F5" s="36">
        <f>COUNTIFS('Test Cases'!$B$2:$B$413,$A5,'Test Cases'!$K$2:$K$413,"N/A")</f>
        <v/>
      </c>
      <c r="G5" s="36">
        <f>COUNTIFS('Test Cases'!$B$2:$B$413,$A5,'Test Cases'!$K$2:$K$413,"Not Run")</f>
        <v/>
      </c>
      <c r="H5" s="37">
        <f>IFERROR((B5-G5-F5)/(B5-F5),0)</f>
        <v/>
      </c>
      <c r="I5" s="37">
        <f>IFERROR(C5/(C5+D5),0)</f>
        <v/>
      </c>
    </row>
    <row r="6" ht="15" customHeight="1" s="24">
      <c r="A6" s="35" t="inlineStr">
        <is>
          <t>Reusable Components</t>
        </is>
      </c>
      <c r="B6" s="36">
        <f>COUNTIF('Test Cases'!$B$2:$B$413,$A6)</f>
        <v/>
      </c>
      <c r="C6" s="36">
        <f>COUNTIFS('Test Cases'!$B$2:$B$413,$A6,'Test Cases'!$K$2:$K$413,"Pass")</f>
        <v/>
      </c>
      <c r="D6" s="36">
        <f>COUNTIFS('Test Cases'!$B$2:$B$413,$A6,'Test Cases'!$K$2:$K$413,"Fail")</f>
        <v/>
      </c>
      <c r="E6" s="36">
        <f>COUNTIFS('Test Cases'!$B$2:$B$413,$A6,'Test Cases'!$K$2:$K$413,"Blocked")</f>
        <v/>
      </c>
      <c r="F6" s="36">
        <f>COUNTIFS('Test Cases'!$B$2:$B$413,$A6,'Test Cases'!$K$2:$K$413,"N/A")</f>
        <v/>
      </c>
      <c r="G6" s="36">
        <f>COUNTIFS('Test Cases'!$B$2:$B$413,$A6,'Test Cases'!$K$2:$K$413,"Not Run")</f>
        <v/>
      </c>
      <c r="H6" s="37">
        <f>IFERROR((B6-G6-F6)/(B6-F6),0)</f>
        <v/>
      </c>
      <c r="I6" s="37">
        <f>IFERROR(C6/(C6+D6),0)</f>
        <v/>
      </c>
    </row>
    <row r="7" ht="15" customHeight="1" s="24">
      <c r="A7" s="35" t="inlineStr">
        <is>
          <t>Class Sections</t>
        </is>
      </c>
      <c r="B7" s="36">
        <f>COUNTIF('Test Cases'!$B$2:$B$413,$A7)</f>
        <v/>
      </c>
      <c r="C7" s="36">
        <f>COUNTIFS('Test Cases'!$B$2:$B$413,$A7,'Test Cases'!$K$2:$K$413,"Pass")</f>
        <v/>
      </c>
      <c r="D7" s="36">
        <f>COUNTIFS('Test Cases'!$B$2:$B$413,$A7,'Test Cases'!$K$2:$K$413,"Fail")</f>
        <v/>
      </c>
      <c r="E7" s="36">
        <f>COUNTIFS('Test Cases'!$B$2:$B$413,$A7,'Test Cases'!$K$2:$K$413,"Blocked")</f>
        <v/>
      </c>
      <c r="F7" s="36">
        <f>COUNTIFS('Test Cases'!$B$2:$B$413,$A7,'Test Cases'!$K$2:$K$413,"N/A")</f>
        <v/>
      </c>
      <c r="G7" s="36">
        <f>COUNTIFS('Test Cases'!$B$2:$B$413,$A7,'Test Cases'!$K$2:$K$413,"Not Run")</f>
        <v/>
      </c>
      <c r="H7" s="37">
        <f>IFERROR((B7-G7-F7)/(B7-F7),0)</f>
        <v/>
      </c>
      <c r="I7" s="37">
        <f>IFERROR(C7/(C7+D7),0)</f>
        <v/>
      </c>
    </row>
    <row r="8" ht="15" customHeight="1" s="24">
      <c r="A8" s="35" t="inlineStr">
        <is>
          <t>Subjects</t>
        </is>
      </c>
      <c r="B8" s="36">
        <f>COUNTIF('Test Cases'!$B$2:$B$413,$A8)</f>
        <v/>
      </c>
      <c r="C8" s="36">
        <f>COUNTIFS('Test Cases'!$B$2:$B$413,$A8,'Test Cases'!$K$2:$K$413,"Pass")</f>
        <v/>
      </c>
      <c r="D8" s="36">
        <f>COUNTIFS('Test Cases'!$B$2:$B$413,$A8,'Test Cases'!$K$2:$K$413,"Fail")</f>
        <v/>
      </c>
      <c r="E8" s="36">
        <f>COUNTIFS('Test Cases'!$B$2:$B$413,$A8,'Test Cases'!$K$2:$K$413,"Blocked")</f>
        <v/>
      </c>
      <c r="F8" s="36">
        <f>COUNTIFS('Test Cases'!$B$2:$B$413,$A8,'Test Cases'!$K$2:$K$413,"N/A")</f>
        <v/>
      </c>
      <c r="G8" s="36">
        <f>COUNTIFS('Test Cases'!$B$2:$B$413,$A8,'Test Cases'!$K$2:$K$413,"Not Run")</f>
        <v/>
      </c>
      <c r="H8" s="37">
        <f>IFERROR((B8-G8-F8)/(B8-F8),0)</f>
        <v/>
      </c>
      <c r="I8" s="37">
        <f>IFERROR(C8/(C8+D8),0)</f>
        <v/>
      </c>
    </row>
    <row r="9" ht="15" customHeight="1" s="24">
      <c r="A9" s="35" t="inlineStr">
        <is>
          <t>Teachers</t>
        </is>
      </c>
      <c r="B9" s="36">
        <f>COUNTIF('Test Cases'!$B$2:$B$413,$A9)</f>
        <v/>
      </c>
      <c r="C9" s="36">
        <f>COUNTIFS('Test Cases'!$B$2:$B$413,$A9,'Test Cases'!$K$2:$K$413,"Pass")</f>
        <v/>
      </c>
      <c r="D9" s="36">
        <f>COUNTIFS('Test Cases'!$B$2:$B$413,$A9,'Test Cases'!$K$2:$K$413,"Fail")</f>
        <v/>
      </c>
      <c r="E9" s="36">
        <f>COUNTIFS('Test Cases'!$B$2:$B$413,$A9,'Test Cases'!$K$2:$K$413,"Blocked")</f>
        <v/>
      </c>
      <c r="F9" s="36">
        <f>COUNTIFS('Test Cases'!$B$2:$B$413,$A9,'Test Cases'!$K$2:$K$413,"N/A")</f>
        <v/>
      </c>
      <c r="G9" s="36">
        <f>COUNTIFS('Test Cases'!$B$2:$B$413,$A9,'Test Cases'!$K$2:$K$413,"Not Run")</f>
        <v/>
      </c>
      <c r="H9" s="37">
        <f>IFERROR((B9-G9-F9)/(B9-F9),0)</f>
        <v/>
      </c>
      <c r="I9" s="37">
        <f>IFERROR(C9/(C9+D9),0)</f>
        <v/>
      </c>
    </row>
    <row r="10" ht="15" customHeight="1" s="24">
      <c r="A10" s="35" t="inlineStr">
        <is>
          <t>Timetable</t>
        </is>
      </c>
      <c r="B10" s="36">
        <f>COUNTIF('Test Cases'!$B$2:$B$413,$A10)</f>
        <v/>
      </c>
      <c r="C10" s="36">
        <f>COUNTIFS('Test Cases'!$B$2:$B$413,$A10,'Test Cases'!$K$2:$K$413,"Pass")</f>
        <v/>
      </c>
      <c r="D10" s="36">
        <f>COUNTIFS('Test Cases'!$B$2:$B$413,$A10,'Test Cases'!$K$2:$K$413,"Fail")</f>
        <v/>
      </c>
      <c r="E10" s="36">
        <f>COUNTIFS('Test Cases'!$B$2:$B$413,$A10,'Test Cases'!$K$2:$K$413,"Blocked")</f>
        <v/>
      </c>
      <c r="F10" s="36">
        <f>COUNTIFS('Test Cases'!$B$2:$B$413,$A10,'Test Cases'!$K$2:$K$413,"N/A")</f>
        <v/>
      </c>
      <c r="G10" s="36">
        <f>COUNTIFS('Test Cases'!$B$2:$B$413,$A10,'Test Cases'!$K$2:$K$413,"Not Run")</f>
        <v/>
      </c>
      <c r="H10" s="37">
        <f>IFERROR((B10-G10-F10)/(B10-F10),0)</f>
        <v/>
      </c>
      <c r="I10" s="37">
        <f>IFERROR(C10/(C10+D10),0)</f>
        <v/>
      </c>
    </row>
    <row r="11" ht="15" customHeight="1" s="24">
      <c r="A11" s="35" t="inlineStr">
        <is>
          <t>Parents</t>
        </is>
      </c>
      <c r="B11" s="36">
        <f>COUNTIF('Test Cases'!$B$2:$B$413,$A11)</f>
        <v/>
      </c>
      <c r="C11" s="36">
        <f>COUNTIFS('Test Cases'!$B$2:$B$413,$A11,'Test Cases'!$K$2:$K$413,"Pass")</f>
        <v/>
      </c>
      <c r="D11" s="36">
        <f>COUNTIFS('Test Cases'!$B$2:$B$413,$A11,'Test Cases'!$K$2:$K$413,"Fail")</f>
        <v/>
      </c>
      <c r="E11" s="36">
        <f>COUNTIFS('Test Cases'!$B$2:$B$413,$A11,'Test Cases'!$K$2:$K$413,"Blocked")</f>
        <v/>
      </c>
      <c r="F11" s="36">
        <f>COUNTIFS('Test Cases'!$B$2:$B$413,$A11,'Test Cases'!$K$2:$K$413,"N/A")</f>
        <v/>
      </c>
      <c r="G11" s="36">
        <f>COUNTIFS('Test Cases'!$B$2:$B$413,$A11,'Test Cases'!$K$2:$K$413,"Not Run")</f>
        <v/>
      </c>
      <c r="H11" s="37">
        <f>IFERROR((B11-G11-F11)/(B11-F11),0)</f>
        <v/>
      </c>
      <c r="I11" s="37">
        <f>IFERROR(C11/(C11+D11),0)</f>
        <v/>
      </c>
    </row>
    <row r="12" ht="15" customHeight="1" s="24">
      <c r="A12" s="35" t="inlineStr">
        <is>
          <t>Admissions</t>
        </is>
      </c>
      <c r="B12" s="36">
        <f>COUNTIF('Test Cases'!$B$2:$B$413,$A12)</f>
        <v/>
      </c>
      <c r="C12" s="36">
        <f>COUNTIFS('Test Cases'!$B$2:$B$413,$A12,'Test Cases'!$K$2:$K$413,"Pass")</f>
        <v/>
      </c>
      <c r="D12" s="36">
        <f>COUNTIFS('Test Cases'!$B$2:$B$413,$A12,'Test Cases'!$K$2:$K$413,"Fail")</f>
        <v/>
      </c>
      <c r="E12" s="36">
        <f>COUNTIFS('Test Cases'!$B$2:$B$413,$A12,'Test Cases'!$K$2:$K$413,"Blocked")</f>
        <v/>
      </c>
      <c r="F12" s="36">
        <f>COUNTIFS('Test Cases'!$B$2:$B$413,$A12,'Test Cases'!$K$2:$K$413,"N/A")</f>
        <v/>
      </c>
      <c r="G12" s="36">
        <f>COUNTIFS('Test Cases'!$B$2:$B$413,$A12,'Test Cases'!$K$2:$K$413,"Not Run")</f>
        <v/>
      </c>
      <c r="H12" s="37">
        <f>IFERROR((B12-G12-F12)/(B12-F12),0)</f>
        <v/>
      </c>
      <c r="I12" s="37">
        <f>IFERROR(C12/(C12+D12),0)</f>
        <v/>
      </c>
    </row>
    <row r="13" ht="15" customHeight="1" s="24">
      <c r="A13" s="35" t="inlineStr">
        <is>
          <t>Students</t>
        </is>
      </c>
      <c r="B13" s="36">
        <f>COUNTIF('Test Cases'!$B$2:$B$413,$A13)</f>
        <v/>
      </c>
      <c r="C13" s="36">
        <f>COUNTIFS('Test Cases'!$B$2:$B$413,$A13,'Test Cases'!$K$2:$K$413,"Pass")</f>
        <v/>
      </c>
      <c r="D13" s="36">
        <f>COUNTIFS('Test Cases'!$B$2:$B$413,$A13,'Test Cases'!$K$2:$K$413,"Fail")</f>
        <v/>
      </c>
      <c r="E13" s="36">
        <f>COUNTIFS('Test Cases'!$B$2:$B$413,$A13,'Test Cases'!$K$2:$K$413,"Blocked")</f>
        <v/>
      </c>
      <c r="F13" s="36">
        <f>COUNTIFS('Test Cases'!$B$2:$B$413,$A13,'Test Cases'!$K$2:$K$413,"N/A")</f>
        <v/>
      </c>
      <c r="G13" s="36">
        <f>COUNTIFS('Test Cases'!$B$2:$B$413,$A13,'Test Cases'!$K$2:$K$413,"Not Run")</f>
        <v/>
      </c>
      <c r="H13" s="37">
        <f>IFERROR((B13-G13-F13)/(B13-F13),0)</f>
        <v/>
      </c>
      <c r="I13" s="37">
        <f>IFERROR(C13/(C13+D13),0)</f>
        <v/>
      </c>
    </row>
    <row r="14" ht="15" customHeight="1" s="24">
      <c r="A14" s="35" t="inlineStr">
        <is>
          <t>Attendance</t>
        </is>
      </c>
      <c r="B14" s="36">
        <f>COUNTIF('Test Cases'!$B$2:$B$413,$A14)</f>
        <v/>
      </c>
      <c r="C14" s="36">
        <f>COUNTIFS('Test Cases'!$B$2:$B$413,$A14,'Test Cases'!$K$2:$K$413,"Pass")</f>
        <v/>
      </c>
      <c r="D14" s="36">
        <f>COUNTIFS('Test Cases'!$B$2:$B$413,$A14,'Test Cases'!$K$2:$K$413,"Fail")</f>
        <v/>
      </c>
      <c r="E14" s="36">
        <f>COUNTIFS('Test Cases'!$B$2:$B$413,$A14,'Test Cases'!$K$2:$K$413,"Blocked")</f>
        <v/>
      </c>
      <c r="F14" s="36">
        <f>COUNTIFS('Test Cases'!$B$2:$B$413,$A14,'Test Cases'!$K$2:$K$413,"N/A")</f>
        <v/>
      </c>
      <c r="G14" s="36">
        <f>COUNTIFS('Test Cases'!$B$2:$B$413,$A14,'Test Cases'!$K$2:$K$413,"Not Run")</f>
        <v/>
      </c>
      <c r="H14" s="37">
        <f>IFERROR((B14-G14-F14)/(B14-F14),0)</f>
        <v/>
      </c>
      <c r="I14" s="37">
        <f>IFERROR(C14/(C14+D14),0)</f>
        <v/>
      </c>
    </row>
    <row r="15" ht="15" customHeight="1" s="24">
      <c r="A15" s="35" t="inlineStr">
        <is>
          <t>Documents</t>
        </is>
      </c>
      <c r="B15" s="36">
        <f>COUNTIF('Test Cases'!$B$2:$B$413,$A15)</f>
        <v/>
      </c>
      <c r="C15" s="36">
        <f>COUNTIFS('Test Cases'!$B$2:$B$413,$A15,'Test Cases'!$K$2:$K$413,"Pass")</f>
        <v/>
      </c>
      <c r="D15" s="36">
        <f>COUNTIFS('Test Cases'!$B$2:$B$413,$A15,'Test Cases'!$K$2:$K$413,"Fail")</f>
        <v/>
      </c>
      <c r="E15" s="36">
        <f>COUNTIFS('Test Cases'!$B$2:$B$413,$A15,'Test Cases'!$K$2:$K$413,"Blocked")</f>
        <v/>
      </c>
      <c r="F15" s="36">
        <f>COUNTIFS('Test Cases'!$B$2:$B$413,$A15,'Test Cases'!$K$2:$K$413,"N/A")</f>
        <v/>
      </c>
      <c r="G15" s="36">
        <f>COUNTIFS('Test Cases'!$B$2:$B$413,$A15,'Test Cases'!$K$2:$K$413,"Not Run")</f>
        <v/>
      </c>
      <c r="H15" s="37">
        <f>IFERROR((B15-G15-F15)/(B15-F15),0)</f>
        <v/>
      </c>
      <c r="I15" s="37">
        <f>IFERROR(C15/(C15+D15),0)</f>
        <v/>
      </c>
    </row>
    <row r="16" ht="15" customHeight="1" s="24">
      <c r="A16" s="35" t="inlineStr">
        <is>
          <t>Users &amp; Staff</t>
        </is>
      </c>
      <c r="B16" s="36">
        <f>COUNTIF('Test Cases'!$B$2:$B$413,$A16)</f>
        <v/>
      </c>
      <c r="C16" s="36">
        <f>COUNTIFS('Test Cases'!$B$2:$B$413,$A16,'Test Cases'!$K$2:$K$413,"Pass")</f>
        <v/>
      </c>
      <c r="D16" s="36">
        <f>COUNTIFS('Test Cases'!$B$2:$B$413,$A16,'Test Cases'!$K$2:$K$413,"Fail")</f>
        <v/>
      </c>
      <c r="E16" s="36">
        <f>COUNTIFS('Test Cases'!$B$2:$B$413,$A16,'Test Cases'!$K$2:$K$413,"Blocked")</f>
        <v/>
      </c>
      <c r="F16" s="36">
        <f>COUNTIFS('Test Cases'!$B$2:$B$413,$A16,'Test Cases'!$K$2:$K$413,"N/A")</f>
        <v/>
      </c>
      <c r="G16" s="36">
        <f>COUNTIFS('Test Cases'!$B$2:$B$413,$A16,'Test Cases'!$K$2:$K$413,"Not Run")</f>
        <v/>
      </c>
      <c r="H16" s="37">
        <f>IFERROR((B16-G16-F16)/(B16-F16),0)</f>
        <v/>
      </c>
      <c r="I16" s="37">
        <f>IFERROR(C16/(C16+D16),0)</f>
        <v/>
      </c>
    </row>
    <row r="17" ht="15" customHeight="1" s="24">
      <c r="A17" s="35" t="inlineStr">
        <is>
          <t>Roles &amp; Permissions</t>
        </is>
      </c>
      <c r="B17" s="36">
        <f>COUNTIF('Test Cases'!$B$2:$B$413,$A17)</f>
        <v/>
      </c>
      <c r="C17" s="36">
        <f>COUNTIFS('Test Cases'!$B$2:$B$413,$A17,'Test Cases'!$K$2:$K$413,"Pass")</f>
        <v/>
      </c>
      <c r="D17" s="36">
        <f>COUNTIFS('Test Cases'!$B$2:$B$413,$A17,'Test Cases'!$K$2:$K$413,"Fail")</f>
        <v/>
      </c>
      <c r="E17" s="36">
        <f>COUNTIFS('Test Cases'!$B$2:$B$413,$A17,'Test Cases'!$K$2:$K$413,"Blocked")</f>
        <v/>
      </c>
      <c r="F17" s="36">
        <f>COUNTIFS('Test Cases'!$B$2:$B$413,$A17,'Test Cases'!$K$2:$K$413,"N/A")</f>
        <v/>
      </c>
      <c r="G17" s="36">
        <f>COUNTIFS('Test Cases'!$B$2:$B$413,$A17,'Test Cases'!$K$2:$K$413,"Not Run")</f>
        <v/>
      </c>
      <c r="H17" s="37">
        <f>IFERROR((B17-G17-F17)/(B17-F17),0)</f>
        <v/>
      </c>
      <c r="I17" s="37">
        <f>IFERROR(C17/(C17+D17),0)</f>
        <v/>
      </c>
    </row>
    <row r="18" ht="15" customHeight="1" s="24">
      <c r="A18" s="35" t="inlineStr">
        <is>
          <t>My Account</t>
        </is>
      </c>
      <c r="B18" s="36">
        <f>COUNTIF('Test Cases'!$B$2:$B$413,$A18)</f>
        <v/>
      </c>
      <c r="C18" s="36">
        <f>COUNTIFS('Test Cases'!$B$2:$B$413,$A18,'Test Cases'!$K$2:$K$413,"Pass")</f>
        <v/>
      </c>
      <c r="D18" s="36">
        <f>COUNTIFS('Test Cases'!$B$2:$B$413,$A18,'Test Cases'!$K$2:$K$413,"Fail")</f>
        <v/>
      </c>
      <c r="E18" s="36">
        <f>COUNTIFS('Test Cases'!$B$2:$B$413,$A18,'Test Cases'!$K$2:$K$413,"Blocked")</f>
        <v/>
      </c>
      <c r="F18" s="36">
        <f>COUNTIFS('Test Cases'!$B$2:$B$413,$A18,'Test Cases'!$K$2:$K$413,"N/A")</f>
        <v/>
      </c>
      <c r="G18" s="36">
        <f>COUNTIFS('Test Cases'!$B$2:$B$413,$A18,'Test Cases'!$K$2:$K$413,"Not Run")</f>
        <v/>
      </c>
      <c r="H18" s="37">
        <f>IFERROR((B18-G18-F18)/(B18-F18),0)</f>
        <v/>
      </c>
      <c r="I18" s="37">
        <f>IFERROR(C18/(C18+D18),0)</f>
        <v/>
      </c>
    </row>
    <row r="19" ht="15" customHeight="1" s="24">
      <c r="A19" s="35" t="inlineStr">
        <is>
          <t>School Settings</t>
        </is>
      </c>
      <c r="B19" s="36">
        <f>COUNTIF('Test Cases'!$B$2:$B$413,$A19)</f>
        <v/>
      </c>
      <c r="C19" s="36">
        <f>COUNTIFS('Test Cases'!$B$2:$B$413,$A19,'Test Cases'!$K$2:$K$413,"Pass")</f>
        <v/>
      </c>
      <c r="D19" s="36">
        <f>COUNTIFS('Test Cases'!$B$2:$B$413,$A19,'Test Cases'!$K$2:$K$413,"Fail")</f>
        <v/>
      </c>
      <c r="E19" s="36">
        <f>COUNTIFS('Test Cases'!$B$2:$B$413,$A19,'Test Cases'!$K$2:$K$413,"Blocked")</f>
        <v/>
      </c>
      <c r="F19" s="36">
        <f>COUNTIFS('Test Cases'!$B$2:$B$413,$A19,'Test Cases'!$K$2:$K$413,"N/A")</f>
        <v/>
      </c>
      <c r="G19" s="36">
        <f>COUNTIFS('Test Cases'!$B$2:$B$413,$A19,'Test Cases'!$K$2:$K$413,"Not Run")</f>
        <v/>
      </c>
      <c r="H19" s="37">
        <f>IFERROR((B19-G19-F19)/(B19-F19),0)</f>
        <v/>
      </c>
      <c r="I19" s="37">
        <f>IFERROR(C19/(C19+D19),0)</f>
        <v/>
      </c>
    </row>
    <row r="20" ht="15" customHeight="1" s="24">
      <c r="A20" s="35" t="inlineStr">
        <is>
          <t>Dashboard</t>
        </is>
      </c>
      <c r="B20" s="36">
        <f>COUNTIF('Test Cases'!$B$2:$B$413,$A20)</f>
        <v/>
      </c>
      <c r="C20" s="36">
        <f>COUNTIFS('Test Cases'!$B$2:$B$413,$A20,'Test Cases'!$K$2:$K$413,"Pass")</f>
        <v/>
      </c>
      <c r="D20" s="36">
        <f>COUNTIFS('Test Cases'!$B$2:$B$413,$A20,'Test Cases'!$K$2:$K$413,"Fail")</f>
        <v/>
      </c>
      <c r="E20" s="36">
        <f>COUNTIFS('Test Cases'!$B$2:$B$413,$A20,'Test Cases'!$K$2:$K$413,"Blocked")</f>
        <v/>
      </c>
      <c r="F20" s="36">
        <f>COUNTIFS('Test Cases'!$B$2:$B$413,$A20,'Test Cases'!$K$2:$K$413,"N/A")</f>
        <v/>
      </c>
      <c r="G20" s="36">
        <f>COUNTIFS('Test Cases'!$B$2:$B$413,$A20,'Test Cases'!$K$2:$K$413,"Not Run")</f>
        <v/>
      </c>
      <c r="H20" s="37">
        <f>IFERROR((B20-G20-F20)/(B20-F20),0)</f>
        <v/>
      </c>
      <c r="I20" s="37">
        <f>IFERROR(C20/(C20+D20),0)</f>
        <v/>
      </c>
    </row>
    <row r="21" ht="15" customHeight="1" s="24">
      <c r="A21" s="35" t="inlineStr">
        <is>
          <t>Roles &amp; Access (RBAC)</t>
        </is>
      </c>
      <c r="B21" s="36">
        <f>COUNTIF('Test Cases'!$B$2:$B$413,$A21)</f>
        <v/>
      </c>
      <c r="C21" s="36">
        <f>COUNTIFS('Test Cases'!$B$2:$B$413,$A21,'Test Cases'!$K$2:$K$413,"Pass")</f>
        <v/>
      </c>
      <c r="D21" s="36">
        <f>COUNTIFS('Test Cases'!$B$2:$B$413,$A21,'Test Cases'!$K$2:$K$413,"Fail")</f>
        <v/>
      </c>
      <c r="E21" s="36">
        <f>COUNTIFS('Test Cases'!$B$2:$B$413,$A21,'Test Cases'!$K$2:$K$413,"Blocked")</f>
        <v/>
      </c>
      <c r="F21" s="36">
        <f>COUNTIFS('Test Cases'!$B$2:$B$413,$A21,'Test Cases'!$K$2:$K$413,"N/A")</f>
        <v/>
      </c>
      <c r="G21" s="36">
        <f>COUNTIFS('Test Cases'!$B$2:$B$413,$A21,'Test Cases'!$K$2:$K$413,"Not Run")</f>
        <v/>
      </c>
      <c r="H21" s="37">
        <f>IFERROR((B21-G21-F21)/(B21-F21),0)</f>
        <v/>
      </c>
      <c r="I21" s="37">
        <f>IFERROR(C21/(C21+D21),0)</f>
        <v/>
      </c>
    </row>
    <row r="22" ht="15" customHeight="1" s="24">
      <c r="A22" s="35" t="inlineStr">
        <is>
          <t>End-to-End</t>
        </is>
      </c>
      <c r="B22" s="36">
        <f>COUNTIF('Test Cases'!$B$2:$B$413,$A22)</f>
        <v/>
      </c>
      <c r="C22" s="36">
        <f>COUNTIFS('Test Cases'!$B$2:$B$413,$A22,'Test Cases'!$K$2:$K$413,"Pass")</f>
        <v/>
      </c>
      <c r="D22" s="36">
        <f>COUNTIFS('Test Cases'!$B$2:$B$413,$A22,'Test Cases'!$K$2:$K$413,"Fail")</f>
        <v/>
      </c>
      <c r="E22" s="36">
        <f>COUNTIFS('Test Cases'!$B$2:$B$413,$A22,'Test Cases'!$K$2:$K$413,"Blocked")</f>
        <v/>
      </c>
      <c r="F22" s="36">
        <f>COUNTIFS('Test Cases'!$B$2:$B$413,$A22,'Test Cases'!$K$2:$K$413,"N/A")</f>
        <v/>
      </c>
      <c r="G22" s="36">
        <f>COUNTIFS('Test Cases'!$B$2:$B$413,$A22,'Test Cases'!$K$2:$K$413,"Not Run")</f>
        <v/>
      </c>
      <c r="H22" s="37">
        <f>IFERROR((B22-G22-F22)/(B22-F22),0)</f>
        <v/>
      </c>
      <c r="I22" s="37">
        <f>IFERROR(C22/(C22+D22),0)</f>
        <v/>
      </c>
    </row>
    <row r="23" ht="15" customHeight="1" s="24">
      <c r="A23" s="35" t="inlineStr">
        <is>
          <t>Non-functional</t>
        </is>
      </c>
      <c r="B23" s="36">
        <f>COUNTIF('Test Cases'!$B$2:$B$413,$A23)</f>
        <v/>
      </c>
      <c r="C23" s="36">
        <f>COUNTIFS('Test Cases'!$B$2:$B$413,$A23,'Test Cases'!$K$2:$K$413,"Pass")</f>
        <v/>
      </c>
      <c r="D23" s="36">
        <f>COUNTIFS('Test Cases'!$B$2:$B$413,$A23,'Test Cases'!$K$2:$K$413,"Fail")</f>
        <v/>
      </c>
      <c r="E23" s="36">
        <f>COUNTIFS('Test Cases'!$B$2:$B$413,$A23,'Test Cases'!$K$2:$K$413,"Blocked")</f>
        <v/>
      </c>
      <c r="F23" s="36">
        <f>COUNTIFS('Test Cases'!$B$2:$B$413,$A23,'Test Cases'!$K$2:$K$413,"N/A")</f>
        <v/>
      </c>
      <c r="G23" s="36">
        <f>COUNTIFS('Test Cases'!$B$2:$B$413,$A23,'Test Cases'!$K$2:$K$413,"Not Run")</f>
        <v/>
      </c>
      <c r="H23" s="37">
        <f>IFERROR((B23-G23-F23)/(B23-F23),0)</f>
        <v/>
      </c>
      <c r="I23" s="37">
        <f>IFERROR(C23/(C23+D23),0)</f>
        <v/>
      </c>
    </row>
    <row r="24" ht="15" customHeight="1" s="24">
      <c r="A24" s="38" t="inlineStr">
        <is>
          <t>TOTAL</t>
        </is>
      </c>
      <c r="B24" s="39">
        <f>SUM(B5:B23)</f>
        <v/>
      </c>
      <c r="C24" s="39">
        <f>SUM(C5:C23)</f>
        <v/>
      </c>
      <c r="D24" s="39">
        <f>SUM(D5:D23)</f>
        <v/>
      </c>
      <c r="E24" s="39">
        <f>SUM(E5:E23)</f>
        <v/>
      </c>
      <c r="F24" s="39">
        <f>SUM(F5:F23)</f>
        <v/>
      </c>
      <c r="G24" s="39">
        <f>SUM(G5:G23)</f>
        <v/>
      </c>
      <c r="H24" s="40">
        <f>IFERROR((B24-G24-F24)/(B24-F24),0)</f>
        <v/>
      </c>
      <c r="I24" s="40">
        <f>IFERROR(C24/(C24+D24),0)</f>
        <v/>
      </c>
    </row>
    <row r="25" s="24"/>
    <row r="26" s="24"/>
    <row r="27" ht="15" customHeight="1" s="24">
      <c r="A27" s="29" t="inlineStr">
        <is>
          <t>High-priority cases</t>
        </is>
      </c>
    </row>
    <row r="28" ht="15" customHeight="1" s="24">
      <c r="A28" s="31" t="inlineStr">
        <is>
          <t>High priority total</t>
        </is>
      </c>
      <c r="B28" s="31">
        <f>COUNTIF('Test Cases'!$E$2:$E$413,"High")</f>
        <v/>
      </c>
    </row>
    <row r="29" ht="15" customHeight="1" s="24">
      <c r="A29" s="31" t="inlineStr">
        <is>
          <t>High priority failed</t>
        </is>
      </c>
      <c r="B29" s="31">
        <f>COUNTIFS('Test Cases'!$E$2:$E$413,"High",'Test Cases'!$K$2:$K$413,"Fail")</f>
        <v/>
      </c>
    </row>
    <row r="30" ht="15" customHeight="1" s="24">
      <c r="A30" s="31" t="inlineStr">
        <is>
          <t>High priority not yet run</t>
        </is>
      </c>
      <c r="B30" s="31">
        <f>COUNTIFS('Test Cases'!$E$2:$E$413,"High",'Test Cases'!$K$2:$K$413,"Not Run")</f>
        <v/>
      </c>
    </row>
    <row r="31" s="24"/>
    <row r="32" ht="15" customHeight="1" s="24">
      <c r="A32" s="29" t="inlineStr">
        <is>
          <t>Open defects (Defect Log)</t>
        </is>
      </c>
    </row>
    <row r="33" ht="15" customHeight="1" s="24">
      <c r="A33" s="31" t="inlineStr">
        <is>
          <t>Open (New, In Progress, Reopened, Retest Failed)</t>
        </is>
      </c>
      <c r="B33" s="31">
        <f>COUNTIF('Defect Log'!$I$6:$I$500,"New")+COUNTIF('Defect Log'!$I$6:$I$500,"In Progress")+COUNTIF('Defect Log'!$I$6:$I$500,"Reopened")+COUNTIF('Defect Log'!$I$6:$I$500,"Retest Failed")</f>
        <v/>
      </c>
    </row>
    <row r="34" ht="15" customHeight="1" s="24">
      <c r="A34" s="31" t="inlineStr">
        <is>
          <t>Critical / High severity still open</t>
        </is>
      </c>
      <c r="B34" s="31">
        <f>COUNTIFS('Defect Log'!$H$6:$H$500,"Critical",'Defect Log'!$I$6:$I$500,"&lt;&gt;Closed",'Defect Log'!$I$6:$I$500,"&lt;&gt;Fixed",'Defect Log'!$I$6:$I$500,"&lt;&gt;")+COUNTIFS('Defect Log'!$H$6:$H$500,"High",'Defect Log'!$I$6:$I$500,"&lt;&gt;Closed",'Defect Log'!$I$6:$I$500,"&lt;&gt;Fixed",'Defect Log'!$I$6:$I$500,"&lt;&gt;")</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O413"/>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customHeight="0" zeroHeight="0" outlineLevelRow="0"/>
  <cols>
    <col width="10" customWidth="1" style="23" min="1" max="1"/>
    <col width="20" customWidth="1" style="23" min="2" max="3"/>
    <col width="12" customWidth="1" style="23" min="4" max="4"/>
    <col width="10" customWidth="1" style="23" min="5" max="5"/>
    <col width="18" customWidth="1" style="23" min="6" max="6"/>
    <col width="34" customWidth="1" style="23" min="7" max="7"/>
    <col width="62" customWidth="1" style="23" min="8" max="8"/>
    <col width="58" customWidth="1" style="23" min="9" max="9"/>
    <col width="40" customWidth="1" style="23" min="10" max="10"/>
    <col width="12" customWidth="1" style="23" min="11" max="11"/>
    <col width="14" customWidth="1" style="23" min="12" max="12"/>
    <col width="13" customWidth="1" style="23" min="13" max="13"/>
    <col width="12" customWidth="1" style="23" min="14" max="14"/>
    <col width="30" customWidth="1" style="23" min="15" max="15"/>
  </cols>
  <sheetData>
    <row r="1" ht="30" customHeight="1" s="24">
      <c r="A1" s="34" t="inlineStr">
        <is>
          <t>Test ID</t>
        </is>
      </c>
      <c r="B1" s="34" t="inlineStr">
        <is>
          <t>Module</t>
        </is>
      </c>
      <c r="C1" s="34" t="inlineStr">
        <is>
          <t>Feature / Area</t>
        </is>
      </c>
      <c r="D1" s="34" t="inlineStr">
        <is>
          <t>Type</t>
        </is>
      </c>
      <c r="E1" s="34" t="inlineStr">
        <is>
          <t>Priority</t>
        </is>
      </c>
      <c r="F1" s="34" t="inlineStr">
        <is>
          <t>Log in as</t>
        </is>
      </c>
      <c r="G1" s="34" t="inlineStr">
        <is>
          <t>Preconditions / Data</t>
        </is>
      </c>
      <c r="H1" s="34" t="inlineStr">
        <is>
          <t>Steps</t>
        </is>
      </c>
      <c r="I1" s="34" t="inlineStr">
        <is>
          <t>Expected Result</t>
        </is>
      </c>
      <c r="J1" s="34" t="inlineStr">
        <is>
          <t>Actual Result</t>
        </is>
      </c>
      <c r="K1" s="34" t="inlineStr">
        <is>
          <t>Status</t>
        </is>
      </c>
      <c r="L1" s="34" t="inlineStr">
        <is>
          <t>Tested By</t>
        </is>
      </c>
      <c r="M1" s="34" t="inlineStr">
        <is>
          <t>Date Tested</t>
        </is>
      </c>
      <c r="N1" s="34" t="inlineStr">
        <is>
          <t>Defect ID</t>
        </is>
      </c>
      <c r="O1" s="34" t="inlineStr">
        <is>
          <t>Comments</t>
        </is>
      </c>
    </row>
    <row r="2" ht="15" customHeight="1" s="24">
      <c r="A2" s="41" t="inlineStr">
        <is>
          <t>LOG-01</t>
        </is>
      </c>
      <c r="B2" s="41" t="inlineStr">
        <is>
          <t>Login &amp; Layout</t>
        </is>
      </c>
      <c r="C2" s="41" t="inlineStr">
        <is>
          <t>Access control</t>
        </is>
      </c>
      <c r="D2" s="41" t="inlineStr">
        <is>
          <t>Negative</t>
        </is>
      </c>
      <c r="E2" s="41" t="inlineStr">
        <is>
          <t>High</t>
        </is>
      </c>
      <c r="F2" s="41" t="inlineStr">
        <is>
          <t>None</t>
        </is>
      </c>
      <c r="G2" s="41" t="inlineStr">
        <is>
          <t>Logged out</t>
        </is>
      </c>
      <c r="H2" s="41" t="inlineStr">
        <is>
          <t>Open the app root URL</t>
        </is>
      </c>
      <c r="I2" s="41" t="inlineStr">
        <is>
          <t>Redirected to the login page</t>
        </is>
      </c>
      <c r="J2" s="42" t="n"/>
      <c r="K2" s="42" t="inlineStr">
        <is>
          <t>Not Run</t>
        </is>
      </c>
      <c r="L2" s="42" t="n"/>
      <c r="M2" s="43" t="n"/>
      <c r="N2" s="42" t="n"/>
      <c r="O2" s="42" t="n"/>
    </row>
    <row r="3" ht="15" customHeight="1" s="24">
      <c r="A3" s="41" t="inlineStr">
        <is>
          <t>LOG-02</t>
        </is>
      </c>
      <c r="B3" s="41" t="inlineStr">
        <is>
          <t>Login &amp; Layout</t>
        </is>
      </c>
      <c r="C3" s="41" t="inlineStr">
        <is>
          <t>Access control</t>
        </is>
      </c>
      <c r="D3" s="41" t="inlineStr">
        <is>
          <t>Negative</t>
        </is>
      </c>
      <c r="E3" s="41" t="inlineStr">
        <is>
          <t>High</t>
        </is>
      </c>
      <c r="F3" s="41" t="inlineStr">
        <is>
          <t>None</t>
        </is>
      </c>
      <c r="G3" s="41" t="inlineStr">
        <is>
          <t>Logged out</t>
        </is>
      </c>
      <c r="H3" s="41" t="inlineStr">
        <is>
          <t>Open /students directly</t>
        </is>
      </c>
      <c r="I3" s="41" t="inlineStr">
        <is>
          <t>Redirected to the login page; no student data visible</t>
        </is>
      </c>
      <c r="J3" s="42" t="n"/>
      <c r="K3" s="42" t="inlineStr">
        <is>
          <t>Not Run</t>
        </is>
      </c>
      <c r="L3" s="42" t="n"/>
      <c r="M3" s="43" t="n"/>
      <c r="N3" s="42" t="n"/>
      <c r="O3" s="42" t="n"/>
    </row>
    <row r="4" ht="15" customHeight="1" s="24">
      <c r="A4" s="41" t="inlineStr">
        <is>
          <t>LOG-03</t>
        </is>
      </c>
      <c r="B4" s="41" t="inlineStr">
        <is>
          <t>Login &amp; Layout</t>
        </is>
      </c>
      <c r="C4" s="41" t="inlineStr">
        <is>
          <t>Login</t>
        </is>
      </c>
      <c r="D4" s="41" t="inlineStr">
        <is>
          <t>Functional</t>
        </is>
      </c>
      <c r="E4" s="41" t="inlineStr">
        <is>
          <t>High</t>
        </is>
      </c>
      <c r="F4" s="41" t="inlineStr">
        <is>
          <t>Admin</t>
        </is>
      </c>
      <c r="G4" s="41" t="inlineStr">
        <is>
          <t>Valid Admin account</t>
        </is>
      </c>
      <c r="H4" s="41" t="inlineStr">
        <is>
          <t>Enter username + correct password, Sign in</t>
        </is>
      </c>
      <c r="I4" s="41" t="inlineStr">
        <is>
          <t>Dashboard opens; header shows 'Welcome, &lt;username&gt;'</t>
        </is>
      </c>
      <c r="J4" s="42" t="n"/>
      <c r="K4" s="42" t="inlineStr">
        <is>
          <t>Not Run</t>
        </is>
      </c>
      <c r="L4" s="42" t="n"/>
      <c r="M4" s="43" t="n"/>
      <c r="N4" s="42" t="n"/>
      <c r="O4" s="42" t="n"/>
    </row>
    <row r="5" ht="15" customHeight="1" s="24">
      <c r="A5" s="41" t="inlineStr">
        <is>
          <t>LOG-04</t>
        </is>
      </c>
      <c r="B5" s="41" t="inlineStr">
        <is>
          <t>Login &amp; Layout</t>
        </is>
      </c>
      <c r="C5" s="41" t="inlineStr">
        <is>
          <t>Login</t>
        </is>
      </c>
      <c r="D5" s="41" t="inlineStr">
        <is>
          <t>Functional</t>
        </is>
      </c>
      <c r="E5" s="41" t="inlineStr">
        <is>
          <t>Medium</t>
        </is>
      </c>
      <c r="F5" s="41" t="inlineStr">
        <is>
          <t>Admin</t>
        </is>
      </c>
      <c r="G5" s="41" t="inlineStr">
        <is>
          <t>Valid Admin account</t>
        </is>
      </c>
      <c r="H5" s="41" t="inlineStr">
        <is>
          <t>Log in using the e-mail address instead of the username</t>
        </is>
      </c>
      <c r="I5" s="41" t="inlineStr">
        <is>
          <t>Login works</t>
        </is>
      </c>
      <c r="J5" s="42" t="n"/>
      <c r="K5" s="42" t="inlineStr">
        <is>
          <t>Not Run</t>
        </is>
      </c>
      <c r="L5" s="42" t="n"/>
      <c r="M5" s="43" t="n"/>
      <c r="N5" s="42" t="n"/>
      <c r="O5" s="42" t="n"/>
    </row>
    <row r="6" ht="23.25" customHeight="1" s="24">
      <c r="A6" s="41" t="inlineStr">
        <is>
          <t>LOG-05</t>
        </is>
      </c>
      <c r="B6" s="41" t="inlineStr">
        <is>
          <t>Login &amp; Layout</t>
        </is>
      </c>
      <c r="C6" s="41" t="inlineStr">
        <is>
          <t>Login</t>
        </is>
      </c>
      <c r="D6" s="41" t="inlineStr">
        <is>
          <t>Negative</t>
        </is>
      </c>
      <c r="E6" s="41" t="inlineStr">
        <is>
          <t>High</t>
        </is>
      </c>
      <c r="F6" s="41" t="inlineStr">
        <is>
          <t>None</t>
        </is>
      </c>
      <c r="G6" s="41" t="n"/>
      <c r="H6" s="41" t="inlineStr">
        <is>
          <t>Enter a wrong password</t>
        </is>
      </c>
      <c r="I6" s="41" t="inlineStr">
        <is>
          <t>Message 'Invalid username/email or password.'; stays on login; button usable again</t>
        </is>
      </c>
      <c r="J6" s="42" t="n"/>
      <c r="K6" s="42" t="inlineStr">
        <is>
          <t>Not Run</t>
        </is>
      </c>
      <c r="L6" s="42" t="n"/>
      <c r="M6" s="43" t="n"/>
      <c r="N6" s="42" t="n"/>
      <c r="O6" s="42" t="n"/>
    </row>
    <row r="7" ht="15" customHeight="1" s="24">
      <c r="A7" s="41" t="inlineStr">
        <is>
          <t>LOG-06</t>
        </is>
      </c>
      <c r="B7" s="41" t="inlineStr">
        <is>
          <t>Login &amp; Layout</t>
        </is>
      </c>
      <c r="C7" s="41" t="inlineStr">
        <is>
          <t>Login</t>
        </is>
      </c>
      <c r="D7" s="41" t="inlineStr">
        <is>
          <t>Validation</t>
        </is>
      </c>
      <c r="E7" s="41" t="inlineStr">
        <is>
          <t>Medium</t>
        </is>
      </c>
      <c r="F7" s="41" t="inlineStr">
        <is>
          <t>None</t>
        </is>
      </c>
      <c r="G7" s="41" t="n"/>
      <c r="H7" s="41" t="inlineStr">
        <is>
          <t>Submit the empty form</t>
        </is>
      </c>
      <c r="I7" s="41" t="inlineStr">
        <is>
          <t>Fields flagged / message shown; no crash</t>
        </is>
      </c>
      <c r="J7" s="42" t="n"/>
      <c r="K7" s="42" t="inlineStr">
        <is>
          <t>Not Run</t>
        </is>
      </c>
      <c r="L7" s="42" t="n"/>
      <c r="M7" s="43" t="n"/>
      <c r="N7" s="42" t="n"/>
      <c r="O7" s="42" t="n"/>
    </row>
    <row r="8" ht="15" customHeight="1" s="24">
      <c r="A8" s="41" t="inlineStr">
        <is>
          <t>LOG-07</t>
        </is>
      </c>
      <c r="B8" s="41" t="inlineStr">
        <is>
          <t>Login &amp; Layout</t>
        </is>
      </c>
      <c r="C8" s="41" t="inlineStr">
        <is>
          <t>Login</t>
        </is>
      </c>
      <c r="D8" s="41" t="inlineStr">
        <is>
          <t>UI</t>
        </is>
      </c>
      <c r="E8" s="41" t="inlineStr">
        <is>
          <t>Low</t>
        </is>
      </c>
      <c r="F8" s="41" t="inlineStr">
        <is>
          <t>None</t>
        </is>
      </c>
      <c r="G8" s="41" t="n"/>
      <c r="H8" s="41" t="inlineStr">
        <is>
          <t>Click Sign in twice quickly</t>
        </is>
      </c>
      <c r="I8" s="41" t="inlineStr">
        <is>
          <t>Button disabled while submitting; only one request sent</t>
        </is>
      </c>
      <c r="J8" s="42" t="n"/>
      <c r="K8" s="42" t="inlineStr">
        <is>
          <t>Not Run</t>
        </is>
      </c>
      <c r="L8" s="42" t="n"/>
      <c r="M8" s="43" t="n"/>
      <c r="N8" s="42" t="n"/>
      <c r="O8" s="42" t="n"/>
    </row>
    <row r="9" ht="15" customHeight="1" s="24">
      <c r="A9" s="41" t="inlineStr">
        <is>
          <t>LOG-08</t>
        </is>
      </c>
      <c r="B9" s="41" t="inlineStr">
        <is>
          <t>Login &amp; Layout</t>
        </is>
      </c>
      <c r="C9" s="41" t="inlineStr">
        <is>
          <t>Session</t>
        </is>
      </c>
      <c r="D9" s="41" t="inlineStr">
        <is>
          <t>Functional</t>
        </is>
      </c>
      <c r="E9" s="41" t="inlineStr">
        <is>
          <t>High</t>
        </is>
      </c>
      <c r="F9" s="41" t="inlineStr">
        <is>
          <t>Admin</t>
        </is>
      </c>
      <c r="G9" s="41" t="inlineStr">
        <is>
          <t>Logged in</t>
        </is>
      </c>
      <c r="H9" s="41" t="inlineStr">
        <is>
          <t>Refresh the browser page</t>
        </is>
      </c>
      <c r="I9" s="41" t="inlineStr">
        <is>
          <t>Still logged in</t>
        </is>
      </c>
      <c r="J9" s="42" t="n"/>
      <c r="K9" s="42" t="inlineStr">
        <is>
          <t>Not Run</t>
        </is>
      </c>
      <c r="L9" s="42" t="n"/>
      <c r="M9" s="43" t="n"/>
      <c r="N9" s="42" t="n"/>
      <c r="O9" s="42" t="n"/>
    </row>
    <row r="10" ht="15" customHeight="1" s="24">
      <c r="A10" s="41" t="inlineStr">
        <is>
          <t>LOG-09</t>
        </is>
      </c>
      <c r="B10" s="41" t="inlineStr">
        <is>
          <t>Login &amp; Layout</t>
        </is>
      </c>
      <c r="C10" s="41" t="inlineStr">
        <is>
          <t>Session</t>
        </is>
      </c>
      <c r="D10" s="41" t="inlineStr">
        <is>
          <t>Negative</t>
        </is>
      </c>
      <c r="E10" s="41" t="inlineStr">
        <is>
          <t>Medium</t>
        </is>
      </c>
      <c r="F10" s="41" t="inlineStr">
        <is>
          <t>Admin</t>
        </is>
      </c>
      <c r="G10" s="41" t="inlineStr">
        <is>
          <t>Logged in</t>
        </is>
      </c>
      <c r="H10" s="41" t="inlineStr">
        <is>
          <t>Clear the saved session (browser storage) and navigate to any page</t>
        </is>
      </c>
      <c r="I10" s="41" t="inlineStr">
        <is>
          <t>Redirected to login</t>
        </is>
      </c>
      <c r="J10" s="42" t="n"/>
      <c r="K10" s="42" t="inlineStr">
        <is>
          <t>Not Run</t>
        </is>
      </c>
      <c r="L10" s="42" t="n"/>
      <c r="M10" s="43" t="n"/>
      <c r="N10" s="42" t="n"/>
      <c r="O10" s="42" t="n"/>
    </row>
    <row r="11" ht="15" customHeight="1" s="24">
      <c r="A11" s="41" t="inlineStr">
        <is>
          <t>LOG-10</t>
        </is>
      </c>
      <c r="B11" s="41" t="inlineStr">
        <is>
          <t>Login &amp; Layout</t>
        </is>
      </c>
      <c r="C11" s="41" t="inlineStr">
        <is>
          <t>Session</t>
        </is>
      </c>
      <c r="D11" s="41" t="inlineStr">
        <is>
          <t>Negative</t>
        </is>
      </c>
      <c r="E11" s="41" t="inlineStr">
        <is>
          <t>Medium</t>
        </is>
      </c>
      <c r="F11" s="41" t="inlineStr">
        <is>
          <t>Admin</t>
        </is>
      </c>
      <c r="G11" s="41" t="inlineStr">
        <is>
          <t>Logged in</t>
        </is>
      </c>
      <c r="H11" s="41" t="inlineStr">
        <is>
          <t>Let the session expire (or edit expiry to the past in storage) and reload</t>
        </is>
      </c>
      <c r="I11" s="41" t="inlineStr">
        <is>
          <t>Session cleared and login shown</t>
        </is>
      </c>
      <c r="J11" s="42" t="n"/>
      <c r="K11" s="42" t="inlineStr">
        <is>
          <t>Not Run</t>
        </is>
      </c>
      <c r="L11" s="42" t="n"/>
      <c r="M11" s="43" t="n"/>
      <c r="N11" s="42" t="n"/>
      <c r="O11" s="42" t="n"/>
    </row>
    <row r="12" ht="15" customHeight="1" s="24">
      <c r="A12" s="41" t="inlineStr">
        <is>
          <t>LOG-11</t>
        </is>
      </c>
      <c r="B12" s="41" t="inlineStr">
        <is>
          <t>Login &amp; Layout</t>
        </is>
      </c>
      <c r="C12" s="41" t="inlineStr">
        <is>
          <t>Session</t>
        </is>
      </c>
      <c r="D12" s="41" t="inlineStr">
        <is>
          <t>Negative</t>
        </is>
      </c>
      <c r="E12" s="41" t="inlineStr">
        <is>
          <t>Medium</t>
        </is>
      </c>
      <c r="F12" s="41" t="inlineStr">
        <is>
          <t>Admin</t>
        </is>
      </c>
      <c r="G12" s="41" t="inlineStr">
        <is>
          <t>Logged in</t>
        </is>
      </c>
      <c r="H12" s="41" t="inlineStr">
        <is>
          <t>Tamper with the saved token, then open any list</t>
        </is>
      </c>
      <c r="I12" s="41" t="inlineStr">
        <is>
          <t>App redirects to login automatically</t>
        </is>
      </c>
      <c r="J12" s="42" t="n"/>
      <c r="K12" s="42" t="inlineStr">
        <is>
          <t>Not Run</t>
        </is>
      </c>
      <c r="L12" s="42" t="n"/>
      <c r="M12" s="43" t="n"/>
      <c r="N12" s="42" t="n"/>
      <c r="O12" s="42" t="n"/>
    </row>
    <row r="13" ht="15" customHeight="1" s="24">
      <c r="A13" s="41" t="inlineStr">
        <is>
          <t>LOG-12</t>
        </is>
      </c>
      <c r="B13" s="41" t="inlineStr">
        <is>
          <t>Login &amp; Layout</t>
        </is>
      </c>
      <c r="C13" s="41" t="inlineStr">
        <is>
          <t>Session</t>
        </is>
      </c>
      <c r="D13" s="41" t="inlineStr">
        <is>
          <t>Functional</t>
        </is>
      </c>
      <c r="E13" s="41" t="inlineStr">
        <is>
          <t>High</t>
        </is>
      </c>
      <c r="F13" s="41" t="inlineStr">
        <is>
          <t>Admin</t>
        </is>
      </c>
      <c r="G13" s="41" t="inlineStr">
        <is>
          <t>Logged in</t>
        </is>
      </c>
      <c r="H13" s="41" t="inlineStr">
        <is>
          <t>Click Logout in the sidebar, then press the browser Back button</t>
        </is>
      </c>
      <c r="I13" s="41" t="inlineStr">
        <is>
          <t>Back at login; Back button does not show protected pages</t>
        </is>
      </c>
      <c r="J13" s="42" t="n"/>
      <c r="K13" s="42" t="inlineStr">
        <is>
          <t>Not Run</t>
        </is>
      </c>
      <c r="L13" s="42" t="n"/>
      <c r="M13" s="43" t="n"/>
      <c r="N13" s="42" t="n"/>
      <c r="O13" s="42" t="n"/>
    </row>
    <row r="14" ht="23.25" customHeight="1" s="24">
      <c r="A14" s="41" t="inlineStr">
        <is>
          <t>LOG-13</t>
        </is>
      </c>
      <c r="B14" s="41" t="inlineStr">
        <is>
          <t>Login &amp; Layout</t>
        </is>
      </c>
      <c r="C14" s="41" t="inlineStr">
        <is>
          <t>Login</t>
        </is>
      </c>
      <c r="D14" s="41" t="inlineStr">
        <is>
          <t>Security</t>
        </is>
      </c>
      <c r="E14" s="41" t="inlineStr">
        <is>
          <t>High</t>
        </is>
      </c>
      <c r="F14" s="41" t="inlineStr">
        <is>
          <t>Any</t>
        </is>
      </c>
      <c r="G14" s="41" t="inlineStr">
        <is>
          <t>Account with a few wrong attempts</t>
        </is>
      </c>
      <c r="H14" s="41" t="inlineStr">
        <is>
          <t>Enter the wrong password repeatedly (about 5 times) for one account</t>
        </is>
      </c>
      <c r="I14" s="41" t="inlineStr">
        <is>
          <t>Account becomes locked with a clear message; correct password is refused until an Admin unlocks (see USR-15)</t>
        </is>
      </c>
      <c r="J14" s="42" t="n"/>
      <c r="K14" s="42" t="inlineStr">
        <is>
          <t>Not Run</t>
        </is>
      </c>
      <c r="L14" s="42" t="n"/>
      <c r="M14" s="43" t="n"/>
      <c r="N14" s="42" t="n"/>
      <c r="O14" s="42" t="n"/>
    </row>
    <row r="15" ht="23.25" customHeight="1" s="24">
      <c r="A15" s="41" t="inlineStr">
        <is>
          <t>LOG-14</t>
        </is>
      </c>
      <c r="B15" s="41" t="inlineStr">
        <is>
          <t>Login &amp; Layout</t>
        </is>
      </c>
      <c r="C15" s="41" t="inlineStr">
        <is>
          <t>Login</t>
        </is>
      </c>
      <c r="D15" s="41" t="inlineStr">
        <is>
          <t>Security</t>
        </is>
      </c>
      <c r="E15" s="41" t="inlineStr">
        <is>
          <t>High</t>
        </is>
      </c>
      <c r="F15" s="41" t="inlineStr">
        <is>
          <t>Any</t>
        </is>
      </c>
      <c r="G15" s="41" t="inlineStr">
        <is>
          <t>User whose status is Inactive or Suspended</t>
        </is>
      </c>
      <c r="H15" s="41" t="inlineStr">
        <is>
          <t>Try to log in</t>
        </is>
      </c>
      <c r="I15" s="41" t="inlineStr">
        <is>
          <t>Login refused with a clear message</t>
        </is>
      </c>
      <c r="J15" s="42" t="n"/>
      <c r="K15" s="42" t="inlineStr">
        <is>
          <t>Not Run</t>
        </is>
      </c>
      <c r="L15" s="42" t="n"/>
      <c r="M15" s="43" t="n"/>
      <c r="N15" s="42" t="n"/>
      <c r="O15" s="42" t="n"/>
    </row>
    <row r="16" ht="23.25" customHeight="1" s="24">
      <c r="A16" s="41" t="inlineStr">
        <is>
          <t>LOG-15</t>
        </is>
      </c>
      <c r="B16" s="41" t="inlineStr">
        <is>
          <t>Login &amp; Layout</t>
        </is>
      </c>
      <c r="C16" s="41" t="inlineStr">
        <is>
          <t>Login</t>
        </is>
      </c>
      <c r="D16" s="41" t="inlineStr">
        <is>
          <t>Functional</t>
        </is>
      </c>
      <c r="E16" s="41" t="inlineStr">
        <is>
          <t>High</t>
        </is>
      </c>
      <c r="F16" s="41" t="inlineStr">
        <is>
          <t>Any</t>
        </is>
      </c>
      <c r="G16" s="41" t="inlineStr">
        <is>
          <t>User created by Admin (MustChangePassword)</t>
        </is>
      </c>
      <c r="H16" s="41" t="inlineStr">
        <is>
          <t>Log in with the temporary password</t>
        </is>
      </c>
      <c r="I16" s="41" t="inlineStr">
        <is>
          <t>Forced to the Change Password page; no other page is reachable until the password is changed</t>
        </is>
      </c>
      <c r="J16" s="42" t="n"/>
      <c r="K16" s="42" t="inlineStr">
        <is>
          <t>Not Run</t>
        </is>
      </c>
      <c r="L16" s="42" t="n"/>
      <c r="M16" s="43" t="n"/>
      <c r="N16" s="42" t="n"/>
      <c r="O16" s="42" t="n"/>
    </row>
    <row r="17" ht="15" customHeight="1" s="24">
      <c r="A17" s="41" t="inlineStr">
        <is>
          <t>LAY-01</t>
        </is>
      </c>
      <c r="B17" s="41" t="inlineStr">
        <is>
          <t>Login &amp; Layout</t>
        </is>
      </c>
      <c r="C17" s="41" t="inlineStr">
        <is>
          <t>Layout</t>
        </is>
      </c>
      <c r="D17" s="41" t="inlineStr">
        <is>
          <t>UI</t>
        </is>
      </c>
      <c r="E17" s="41" t="inlineStr">
        <is>
          <t>Medium</t>
        </is>
      </c>
      <c r="F17" s="41" t="inlineStr">
        <is>
          <t>Admin</t>
        </is>
      </c>
      <c r="G17" s="41" t="inlineStr">
        <is>
          <t>Logged in</t>
        </is>
      </c>
      <c r="H17" s="41" t="inlineStr">
        <is>
          <t>Look at the sidebar</t>
        </is>
      </c>
      <c r="I17" s="41" t="inlineStr">
        <is>
          <t>Sections visible (Overview, Records, Daily, ...); current page highlighted</t>
        </is>
      </c>
      <c r="J17" s="42" t="n"/>
      <c r="K17" s="42" t="inlineStr">
        <is>
          <t>Not Run</t>
        </is>
      </c>
      <c r="L17" s="42" t="n"/>
      <c r="M17" s="43" t="n"/>
      <c r="N17" s="42" t="n"/>
      <c r="O17" s="42" t="n"/>
    </row>
    <row r="18" ht="34.5" customHeight="1" s="24">
      <c r="A18" s="41" t="inlineStr">
        <is>
          <t>LAY-02</t>
        </is>
      </c>
      <c r="B18" s="41" t="inlineStr">
        <is>
          <t>Login &amp; Layout</t>
        </is>
      </c>
      <c r="C18" s="41" t="inlineStr">
        <is>
          <t>Layout</t>
        </is>
      </c>
      <c r="D18" s="41" t="inlineStr">
        <is>
          <t>Functional</t>
        </is>
      </c>
      <c r="E18" s="41" t="inlineStr">
        <is>
          <t>High</t>
        </is>
      </c>
      <c r="F18" s="41" t="inlineStr">
        <is>
          <t>Admin</t>
        </is>
      </c>
      <c r="G18" s="41" t="inlineStr">
        <is>
          <t>Logged in</t>
        </is>
      </c>
      <c r="H18" s="41" t="inlineStr">
        <is>
          <t>Click each built item: Dashboard, Admissions, Students, Classes &amp; Sections, Parents, Subjects, Teachers, Attendance, Documents, Users &amp; Staff, Roles &amp; Permissions, My Account, Settings</t>
        </is>
      </c>
      <c r="I18" s="41" t="inlineStr">
        <is>
          <t>Correct page opens; URL changes</t>
        </is>
      </c>
      <c r="J18" s="42" t="n"/>
      <c r="K18" s="42" t="inlineStr">
        <is>
          <t>Not Run</t>
        </is>
      </c>
      <c r="L18" s="42" t="n"/>
      <c r="M18" s="43" t="n"/>
      <c r="N18" s="42" t="n"/>
      <c r="O18" s="42" t="n"/>
    </row>
    <row r="19" ht="15" customHeight="1" s="24">
      <c r="A19" s="41" t="inlineStr">
        <is>
          <t>LAY-03</t>
        </is>
      </c>
      <c r="B19" s="41" t="inlineStr">
        <is>
          <t>Login &amp; Layout</t>
        </is>
      </c>
      <c r="C19" s="41" t="inlineStr">
        <is>
          <t>Layout</t>
        </is>
      </c>
      <c r="D19" s="41" t="inlineStr">
        <is>
          <t>Functional</t>
        </is>
      </c>
      <c r="E19" s="41" t="inlineStr">
        <is>
          <t>Low</t>
        </is>
      </c>
      <c r="F19" s="41" t="inlineStr">
        <is>
          <t>Admin</t>
        </is>
      </c>
      <c r="G19" s="41" t="inlineStr">
        <is>
          <t>Logged in</t>
        </is>
      </c>
      <c r="H19" s="41" t="inlineStr">
        <is>
          <t>Click a module that is not built yet (e.g. Reports, Fees)</t>
        </is>
      </c>
      <c r="I19" s="41" t="inlineStr">
        <is>
          <t>Redirects to the dashboard with no error (known placeholder)</t>
        </is>
      </c>
      <c r="J19" s="42" t="n"/>
      <c r="K19" s="42" t="inlineStr">
        <is>
          <t>Not Run</t>
        </is>
      </c>
      <c r="L19" s="42" t="n"/>
      <c r="M19" s="43" t="n"/>
      <c r="N19" s="42" t="n"/>
      <c r="O19" s="42" t="n"/>
    </row>
    <row r="20" ht="23.25" customHeight="1" s="24">
      <c r="A20" s="41" t="inlineStr">
        <is>
          <t>LAY-04</t>
        </is>
      </c>
      <c r="B20" s="41" t="inlineStr">
        <is>
          <t>Login &amp; Layout</t>
        </is>
      </c>
      <c r="C20" s="41" t="inlineStr">
        <is>
          <t>Layout</t>
        </is>
      </c>
      <c r="D20" s="41" t="inlineStr">
        <is>
          <t>UI</t>
        </is>
      </c>
      <c r="E20" s="41" t="inlineStr">
        <is>
          <t>Low</t>
        </is>
      </c>
      <c r="F20" s="41" t="inlineStr">
        <is>
          <t>Admin</t>
        </is>
      </c>
      <c r="G20" s="41" t="inlineStr">
        <is>
          <t>Logged in</t>
        </is>
      </c>
      <c r="H20" s="41" t="inlineStr">
        <is>
          <t>Toggle dark mode on several pages, refresh</t>
        </is>
      </c>
      <c r="I20" s="41" t="inlineStr">
        <is>
          <t>Theme switches, all pages readable in both themes, choice survives refresh</t>
        </is>
      </c>
      <c r="J20" s="42" t="n"/>
      <c r="K20" s="42" t="inlineStr">
        <is>
          <t>Not Run</t>
        </is>
      </c>
      <c r="L20" s="42" t="n"/>
      <c r="M20" s="43" t="n"/>
      <c r="N20" s="42" t="n"/>
      <c r="O20" s="42" t="n"/>
    </row>
    <row r="21" ht="15" customHeight="1" s="24">
      <c r="A21" s="41" t="inlineStr">
        <is>
          <t>LAY-05</t>
        </is>
      </c>
      <c r="B21" s="41" t="inlineStr">
        <is>
          <t>Login &amp; Layout</t>
        </is>
      </c>
      <c r="C21" s="41" t="inlineStr">
        <is>
          <t>Layout</t>
        </is>
      </c>
      <c r="D21" s="41" t="inlineStr">
        <is>
          <t>UI</t>
        </is>
      </c>
      <c r="E21" s="41" t="inlineStr">
        <is>
          <t>Medium</t>
        </is>
      </c>
      <c r="F21" s="41" t="inlineStr">
        <is>
          <t>Admin</t>
        </is>
      </c>
      <c r="G21" s="41" t="inlineStr">
        <is>
          <t>Logged in</t>
        </is>
      </c>
      <c r="H21" s="41" t="inlineStr">
        <is>
          <t>Narrow the window to phone width</t>
        </is>
      </c>
      <c r="I21" s="41" t="inlineStr">
        <is>
          <t>Layout usable; tables scroll horizontally; modals not clipped</t>
        </is>
      </c>
      <c r="J21" s="42" t="n"/>
      <c r="K21" s="42" t="inlineStr">
        <is>
          <t>Not Run</t>
        </is>
      </c>
      <c r="L21" s="42" t="n"/>
      <c r="M21" s="43" t="n"/>
      <c r="N21" s="42" t="n"/>
      <c r="O21" s="42" t="n"/>
    </row>
    <row r="22" ht="15" customHeight="1" s="24">
      <c r="A22" s="41" t="inlineStr">
        <is>
          <t>LAY-06</t>
        </is>
      </c>
      <c r="B22" s="41" t="inlineStr">
        <is>
          <t>Login &amp; Layout</t>
        </is>
      </c>
      <c r="C22" s="41" t="inlineStr">
        <is>
          <t>Layout</t>
        </is>
      </c>
      <c r="D22" s="41" t="inlineStr">
        <is>
          <t>Negative</t>
        </is>
      </c>
      <c r="E22" s="41" t="inlineStr">
        <is>
          <t>Low</t>
        </is>
      </c>
      <c r="F22" s="41" t="inlineStr">
        <is>
          <t>Admin</t>
        </is>
      </c>
      <c r="G22" s="41" t="inlineStr">
        <is>
          <t>Logged in</t>
        </is>
      </c>
      <c r="H22" s="41" t="inlineStr">
        <is>
          <t>Open an unknown URL such as /xyz</t>
        </is>
      </c>
      <c r="I22" s="41" t="inlineStr">
        <is>
          <t>Redirected to the dashboard</t>
        </is>
      </c>
      <c r="J22" s="42" t="n"/>
      <c r="K22" s="42" t="inlineStr">
        <is>
          <t>Not Run</t>
        </is>
      </c>
      <c r="L22" s="42" t="n"/>
      <c r="M22" s="43" t="n"/>
      <c r="N22" s="42" t="n"/>
      <c r="O22" s="42" t="n"/>
    </row>
    <row r="23" ht="23.25" customHeight="1" s="24">
      <c r="A23" s="41" t="inlineStr">
        <is>
          <t>LAY-07</t>
        </is>
      </c>
      <c r="B23" s="41" t="inlineStr">
        <is>
          <t>Login &amp; Layout</t>
        </is>
      </c>
      <c r="C23" s="41" t="inlineStr">
        <is>
          <t>Layout</t>
        </is>
      </c>
      <c r="D23" s="41" t="inlineStr">
        <is>
          <t>Functional</t>
        </is>
      </c>
      <c r="E23" s="41" t="inlineStr">
        <is>
          <t>Medium</t>
        </is>
      </c>
      <c r="F23" s="41" t="inlineStr">
        <is>
          <t>Admin</t>
        </is>
      </c>
      <c r="G23" s="41" t="inlineStr">
        <is>
          <t>Logged in</t>
        </is>
      </c>
      <c r="H23" s="41" t="inlineStr">
        <is>
          <t>Check the top bar</t>
        </is>
      </c>
      <c r="I23" s="41" t="inlineStr">
        <is>
          <t>School name from Settings is shown (and updates after it is changed in Settings)</t>
        </is>
      </c>
      <c r="J23" s="42" t="n"/>
      <c r="K23" s="42" t="inlineStr">
        <is>
          <t>Not Run</t>
        </is>
      </c>
      <c r="L23" s="42" t="n"/>
      <c r="M23" s="43" t="n"/>
      <c r="N23" s="42" t="n"/>
      <c r="O23" s="42" t="n"/>
    </row>
    <row r="24" ht="23.25" customHeight="1" s="24">
      <c r="A24" s="41" t="inlineStr">
        <is>
          <t>LAY-08</t>
        </is>
      </c>
      <c r="B24" s="41" t="inlineStr">
        <is>
          <t>Login &amp; Layout</t>
        </is>
      </c>
      <c r="C24" s="41" t="inlineStr">
        <is>
          <t>Layout</t>
        </is>
      </c>
      <c r="D24" s="41" t="inlineStr">
        <is>
          <t>Security</t>
        </is>
      </c>
      <c r="E24" s="41" t="inlineStr">
        <is>
          <t>High</t>
        </is>
      </c>
      <c r="F24" s="41" t="inlineStr">
        <is>
          <t>Clerk</t>
        </is>
      </c>
      <c r="G24" s="41" t="inlineStr">
        <is>
          <t>Clerk logged in</t>
        </is>
      </c>
      <c r="H24" s="41" t="inlineStr">
        <is>
          <t>Look at the sidebar and try URLs of pages the role may not use (e.g. /roles-permissions, /settings)</t>
        </is>
      </c>
      <c r="I24" s="41" t="inlineStr">
        <is>
          <t>Items the user may not use are hidden or the page shows a clear 'no permission' state; no data from the page is shown</t>
        </is>
      </c>
      <c r="J24" s="42" t="n"/>
      <c r="K24" s="42" t="inlineStr">
        <is>
          <t>Not Run</t>
        </is>
      </c>
      <c r="L24" s="42" t="n"/>
      <c r="M24" s="43" t="n"/>
      <c r="N24" s="42" t="n"/>
      <c r="O24" s="42" t="n"/>
    </row>
    <row r="25" ht="23.25" customHeight="1" s="24">
      <c r="A25" s="41" t="inlineStr">
        <is>
          <t>CMP-01</t>
        </is>
      </c>
      <c r="B25" s="41" t="inlineStr">
        <is>
          <t>Reusable Components</t>
        </is>
      </c>
      <c r="C25" s="41" t="inlineStr">
        <is>
          <t>Validation modal</t>
        </is>
      </c>
      <c r="D25" s="41" t="inlineStr">
        <is>
          <t>UI</t>
        </is>
      </c>
      <c r="E25" s="41" t="inlineStr">
        <is>
          <t>High</t>
        </is>
      </c>
      <c r="F25" s="41" t="inlineStr">
        <is>
          <t>Any</t>
        </is>
      </c>
      <c r="G25" s="41" t="n"/>
      <c r="H25" s="41" t="inlineStr">
        <is>
          <t>Trigger a server validation error on any form</t>
        </is>
      </c>
      <c r="I25" s="41" t="inlineStr">
        <is>
          <t>Modal lists every server message; closes with button / X; no raw JSON shown</t>
        </is>
      </c>
      <c r="J25" s="42" t="n"/>
      <c r="K25" s="42" t="inlineStr">
        <is>
          <t>Not Run</t>
        </is>
      </c>
      <c r="L25" s="42" t="n"/>
      <c r="M25" s="43" t="n"/>
      <c r="N25" s="42" t="n"/>
      <c r="O25" s="42" t="n"/>
    </row>
    <row r="26" ht="15" customHeight="1" s="24">
      <c r="A26" s="41" t="inlineStr">
        <is>
          <t>CMP-02</t>
        </is>
      </c>
      <c r="B26" s="41" t="inlineStr">
        <is>
          <t>Reusable Components</t>
        </is>
      </c>
      <c r="C26" s="41" t="inlineStr">
        <is>
          <t>Validation modal</t>
        </is>
      </c>
      <c r="D26" s="41" t="inlineStr">
        <is>
          <t>UI</t>
        </is>
      </c>
      <c r="E26" s="41" t="inlineStr">
        <is>
          <t>High</t>
        </is>
      </c>
      <c r="F26" s="41" t="inlineStr">
        <is>
          <t>Any</t>
        </is>
      </c>
      <c r="G26" s="41" t="n"/>
      <c r="H26" s="41" t="inlineStr">
        <is>
          <t>Trigger a business-rule error (e.g. class is full)</t>
        </is>
      </c>
      <c r="I26" s="41" t="inlineStr">
        <is>
          <t>Server message shown clearly (e.g. 'is full (1/1)')</t>
        </is>
      </c>
      <c r="J26" s="42" t="n"/>
      <c r="K26" s="42" t="inlineStr">
        <is>
          <t>Not Run</t>
        </is>
      </c>
      <c r="L26" s="42" t="n"/>
      <c r="M26" s="43" t="n"/>
      <c r="N26" s="42" t="n"/>
      <c r="O26" s="42" t="n"/>
    </row>
    <row r="27" ht="15" customHeight="1" s="24">
      <c r="A27" s="41" t="inlineStr">
        <is>
          <t>CMP-03</t>
        </is>
      </c>
      <c r="B27" s="41" t="inlineStr">
        <is>
          <t>Reusable Components</t>
        </is>
      </c>
      <c r="C27" s="41" t="inlineStr">
        <is>
          <t>Confirm dialog</t>
        </is>
      </c>
      <c r="D27" s="41" t="inlineStr">
        <is>
          <t>Functional</t>
        </is>
      </c>
      <c r="E27" s="41" t="inlineStr">
        <is>
          <t>High</t>
        </is>
      </c>
      <c r="F27" s="41" t="inlineStr">
        <is>
          <t>Any</t>
        </is>
      </c>
      <c r="G27" s="41" t="n"/>
      <c r="H27" s="41" t="inlineStr">
        <is>
          <t>Open any delete confirmation; Cancel, then repeat and Confirm</t>
        </is>
      </c>
      <c r="I27" s="41" t="inlineStr">
        <is>
          <t>Cancel keeps data; Confirm does the action exactly once</t>
        </is>
      </c>
      <c r="J27" s="42" t="n"/>
      <c r="K27" s="42" t="inlineStr">
        <is>
          <t>Not Run</t>
        </is>
      </c>
      <c r="L27" s="42" t="n"/>
      <c r="M27" s="43" t="n"/>
      <c r="N27" s="42" t="n"/>
      <c r="O27" s="42" t="n"/>
    </row>
    <row r="28" ht="15" customHeight="1" s="24">
      <c r="A28" s="41" t="inlineStr">
        <is>
          <t>CMP-04</t>
        </is>
      </c>
      <c r="B28" s="41" t="inlineStr">
        <is>
          <t>Reusable Components</t>
        </is>
      </c>
      <c r="C28" s="41" t="inlineStr">
        <is>
          <t>Details modal</t>
        </is>
      </c>
      <c r="D28" s="41" t="inlineStr">
        <is>
          <t>UI</t>
        </is>
      </c>
      <c r="E28" s="41" t="inlineStr">
        <is>
          <t>Medium</t>
        </is>
      </c>
      <c r="F28" s="41" t="inlineStr">
        <is>
          <t>Any</t>
        </is>
      </c>
      <c r="G28" s="41" t="n"/>
      <c r="H28" s="41" t="inlineStr">
        <is>
          <t>Open any View (eye) modal</t>
        </is>
      </c>
      <c r="I28" s="41" t="inlineStr">
        <is>
          <t>All sections shown; empty values show a dash; closes cleanly</t>
        </is>
      </c>
      <c r="J28" s="42" t="n"/>
      <c r="K28" s="42" t="inlineStr">
        <is>
          <t>Not Run</t>
        </is>
      </c>
      <c r="L28" s="42" t="n"/>
      <c r="M28" s="43" t="n"/>
      <c r="N28" s="42" t="n"/>
      <c r="O28" s="42" t="n"/>
    </row>
    <row r="29" ht="23.25" customHeight="1" s="24">
      <c r="A29" s="41" t="inlineStr">
        <is>
          <t>CMP-05</t>
        </is>
      </c>
      <c r="B29" s="41" t="inlineStr">
        <is>
          <t>Reusable Components</t>
        </is>
      </c>
      <c r="C29" s="41" t="inlineStr">
        <is>
          <t>Table footer / paging</t>
        </is>
      </c>
      <c r="D29" s="41" t="inlineStr">
        <is>
          <t>Functional</t>
        </is>
      </c>
      <c r="E29" s="41" t="inlineStr">
        <is>
          <t>High</t>
        </is>
      </c>
      <c r="F29" s="41" t="inlineStr">
        <is>
          <t>Any</t>
        </is>
      </c>
      <c r="G29" s="41" t="inlineStr">
        <is>
          <t>List with &gt;25 rows</t>
        </is>
      </c>
      <c r="H29" s="41" t="inlineStr">
        <is>
          <t>Check footer text; change page size 10/25/50; use Prev/Next</t>
        </is>
      </c>
      <c r="I29" s="41" t="inlineStr">
        <is>
          <t>'Showing x-y of N' correct; page size changes rows; Prev/Next disabled at the ends</t>
        </is>
      </c>
      <c r="J29" s="42" t="n"/>
      <c r="K29" s="42" t="inlineStr">
        <is>
          <t>Not Run</t>
        </is>
      </c>
      <c r="L29" s="42" t="n"/>
      <c r="M29" s="43" t="n"/>
      <c r="N29" s="42" t="n"/>
      <c r="O29" s="42" t="n"/>
    </row>
    <row r="30" ht="15" customHeight="1" s="24">
      <c r="A30" s="41" t="inlineStr">
        <is>
          <t>CMP-06</t>
        </is>
      </c>
      <c r="B30" s="41" t="inlineStr">
        <is>
          <t>Reusable Components</t>
        </is>
      </c>
      <c r="C30" s="41" t="inlineStr">
        <is>
          <t>Quick search</t>
        </is>
      </c>
      <c r="D30" s="41" t="inlineStr">
        <is>
          <t>Functional</t>
        </is>
      </c>
      <c r="E30" s="41" t="inlineStr">
        <is>
          <t>Medium</t>
        </is>
      </c>
      <c r="F30" s="41" t="inlineStr">
        <is>
          <t>Any</t>
        </is>
      </c>
      <c r="G30" s="41" t="n"/>
      <c r="H30" s="41" t="inlineStr">
        <is>
          <t>Type in the search box above a table</t>
        </is>
      </c>
      <c r="I30" s="41" t="inlineStr">
        <is>
          <t>Rows filter live; paging resets to page 1</t>
        </is>
      </c>
      <c r="J30" s="42" t="n"/>
      <c r="K30" s="42" t="inlineStr">
        <is>
          <t>Not Run</t>
        </is>
      </c>
      <c r="L30" s="42" t="n"/>
      <c r="M30" s="43" t="n"/>
      <c r="N30" s="42" t="n"/>
      <c r="O30" s="42" t="n"/>
    </row>
    <row r="31" ht="23.25" customHeight="1" s="24">
      <c r="A31" s="41" t="inlineStr">
        <is>
          <t>CMP-07</t>
        </is>
      </c>
      <c r="B31" s="41" t="inlineStr">
        <is>
          <t>Reusable Components</t>
        </is>
      </c>
      <c r="C31" s="41" t="inlineStr">
        <is>
          <t>Export CSV</t>
        </is>
      </c>
      <c r="D31" s="41" t="inlineStr">
        <is>
          <t>Functional</t>
        </is>
      </c>
      <c r="E31" s="41" t="inlineStr">
        <is>
          <t>Medium</t>
        </is>
      </c>
      <c r="F31" s="41" t="inlineStr">
        <is>
          <t>Any</t>
        </is>
      </c>
      <c r="G31" s="41" t="n"/>
      <c r="H31" s="41" t="inlineStr">
        <is>
          <t>Filter a list, click Export CSV, open in Excel</t>
        </is>
      </c>
      <c r="I31" s="41" t="inlineStr">
        <is>
          <t>File downloads; header + rows match what is filtered on screen; special characters/commas not broken</t>
        </is>
      </c>
      <c r="J31" s="42" t="n"/>
      <c r="K31" s="42" t="inlineStr">
        <is>
          <t>Not Run</t>
        </is>
      </c>
      <c r="L31" s="42" t="n"/>
      <c r="M31" s="43" t="n"/>
      <c r="N31" s="42" t="n"/>
      <c r="O31" s="42" t="n"/>
    </row>
    <row r="32" ht="23.25" customHeight="1" s="24">
      <c r="A32" s="41" t="inlineStr">
        <is>
          <t>CMP-08</t>
        </is>
      </c>
      <c r="B32" s="41" t="inlineStr">
        <is>
          <t>Reusable Components</t>
        </is>
      </c>
      <c r="C32" s="41" t="inlineStr">
        <is>
          <t>Modals</t>
        </is>
      </c>
      <c r="D32" s="41" t="inlineStr">
        <is>
          <t>UI</t>
        </is>
      </c>
      <c r="E32" s="41" t="inlineStr">
        <is>
          <t>Low</t>
        </is>
      </c>
      <c r="F32" s="41" t="inlineStr">
        <is>
          <t>Any</t>
        </is>
      </c>
      <c r="G32" s="41" t="n"/>
      <c r="H32" s="41" t="inlineStr">
        <is>
          <t>Open a modal; press Esc; scroll the page behind</t>
        </is>
      </c>
      <c r="I32" s="41" t="inlineStr">
        <is>
          <t>Esc/X closes where supported; background does not scroll; focus lands in first field</t>
        </is>
      </c>
      <c r="J32" s="42" t="n"/>
      <c r="K32" s="42" t="inlineStr">
        <is>
          <t>Not Run</t>
        </is>
      </c>
      <c r="L32" s="42" t="n"/>
      <c r="M32" s="43" t="n"/>
      <c r="N32" s="42" t="n"/>
      <c r="O32" s="42" t="n"/>
    </row>
    <row r="33" ht="15" customHeight="1" s="24">
      <c r="A33" s="41" t="inlineStr">
        <is>
          <t>CMP-09</t>
        </is>
      </c>
      <c r="B33" s="41" t="inlineStr">
        <is>
          <t>Reusable Components</t>
        </is>
      </c>
      <c r="C33" s="41" t="inlineStr">
        <is>
          <t>Error state</t>
        </is>
      </c>
      <c r="D33" s="41" t="inlineStr">
        <is>
          <t>Negative</t>
        </is>
      </c>
      <c r="E33" s="41" t="inlineStr">
        <is>
          <t>Medium</t>
        </is>
      </c>
      <c r="F33" s="41" t="inlineStr">
        <is>
          <t>Any</t>
        </is>
      </c>
      <c r="G33" s="41" t="inlineStr">
        <is>
          <t>API stopped</t>
        </is>
      </c>
      <c r="H33" s="41" t="inlineStr">
        <is>
          <t>Open a list page while the API is down</t>
        </is>
      </c>
      <c r="I33" s="41" t="inlineStr">
        <is>
          <t>Error message or error state; not a blank page or endless spinner</t>
        </is>
      </c>
      <c r="J33" s="42" t="n"/>
      <c r="K33" s="42" t="inlineStr">
        <is>
          <t>Not Run</t>
        </is>
      </c>
      <c r="L33" s="42" t="n"/>
      <c r="M33" s="43" t="n"/>
      <c r="N33" s="42" t="n"/>
      <c r="O33" s="42" t="n"/>
    </row>
    <row r="34" ht="15" customHeight="1" s="24">
      <c r="A34" s="41" t="inlineStr">
        <is>
          <t>CMP-10</t>
        </is>
      </c>
      <c r="B34" s="41" t="inlineStr">
        <is>
          <t>Reusable Components</t>
        </is>
      </c>
      <c r="C34" s="41" t="inlineStr">
        <is>
          <t>Toasts</t>
        </is>
      </c>
      <c r="D34" s="41" t="inlineStr">
        <is>
          <t>UI</t>
        </is>
      </c>
      <c r="E34" s="41" t="inlineStr">
        <is>
          <t>Low</t>
        </is>
      </c>
      <c r="F34" s="41" t="inlineStr">
        <is>
          <t>Any</t>
        </is>
      </c>
      <c r="G34" s="41" t="n"/>
      <c r="H34" s="41" t="inlineStr">
        <is>
          <t>Save something successfully; also cause an error</t>
        </is>
      </c>
      <c r="I34" s="41" t="inlineStr">
        <is>
          <t>Success/error toast appears and disappears; text is understandable</t>
        </is>
      </c>
      <c r="J34" s="42" t="n"/>
      <c r="K34" s="42" t="inlineStr">
        <is>
          <t>Not Run</t>
        </is>
      </c>
      <c r="L34" s="42" t="n"/>
      <c r="M34" s="43" t="n"/>
      <c r="N34" s="42" t="n"/>
      <c r="O34" s="42" t="n"/>
    </row>
    <row r="35" ht="23.25" customHeight="1" s="24">
      <c r="A35" s="41" t="inlineStr">
        <is>
          <t>CLS-01</t>
        </is>
      </c>
      <c r="B35" s="41" t="inlineStr">
        <is>
          <t>Class Sections</t>
        </is>
      </c>
      <c r="C35" s="41" t="inlineStr">
        <is>
          <t>List</t>
        </is>
      </c>
      <c r="D35" s="41" t="inlineStr">
        <is>
          <t>Functional</t>
        </is>
      </c>
      <c r="E35" s="41" t="inlineStr">
        <is>
          <t>High</t>
        </is>
      </c>
      <c r="F35" s="41" t="inlineStr">
        <is>
          <t>Admin</t>
        </is>
      </c>
      <c r="G35" s="41" t="inlineStr">
        <is>
          <t>Logged in</t>
        </is>
      </c>
      <c r="H35" s="41" t="inlineStr">
        <is>
          <t>Open Classes &amp; Sections</t>
        </is>
      </c>
      <c r="I35" s="41" t="inlineStr">
        <is>
          <t>List loads; Academic Year, Section, Stage, Medium filters are populated</t>
        </is>
      </c>
      <c r="J35" s="42" t="n"/>
      <c r="K35" s="42" t="inlineStr">
        <is>
          <t>Not Run</t>
        </is>
      </c>
      <c r="L35" s="42" t="n"/>
      <c r="M35" s="43" t="n"/>
      <c r="N35" s="42" t="n"/>
      <c r="O35" s="42" t="n"/>
    </row>
    <row r="36" ht="15" customHeight="1" s="24">
      <c r="A36" s="41" t="inlineStr">
        <is>
          <t>CLS-02</t>
        </is>
      </c>
      <c r="B36" s="41" t="inlineStr">
        <is>
          <t>Class Sections</t>
        </is>
      </c>
      <c r="C36" s="41" t="inlineStr">
        <is>
          <t>Create</t>
        </is>
      </c>
      <c r="D36" s="41" t="inlineStr">
        <is>
          <t>Validation</t>
        </is>
      </c>
      <c r="E36" s="41" t="inlineStr">
        <is>
          <t>High</t>
        </is>
      </c>
      <c r="F36" s="41" t="inlineStr">
        <is>
          <t>Admin</t>
        </is>
      </c>
      <c r="G36" s="41" t="n"/>
      <c r="H36" s="41" t="inlineStr">
        <is>
          <t>Click Add Class, leave all empty, Save</t>
        </is>
      </c>
      <c r="I36" s="41" t="inlineStr">
        <is>
          <t>Required-field messages; nothing created</t>
        </is>
      </c>
      <c r="J36" s="42" t="n"/>
      <c r="K36" s="42" t="inlineStr">
        <is>
          <t>Not Run</t>
        </is>
      </c>
      <c r="L36" s="42" t="n"/>
      <c r="M36" s="43" t="n"/>
      <c r="N36" s="42" t="n"/>
      <c r="O36" s="42" t="n"/>
    </row>
    <row r="37" ht="23.25" customHeight="1" s="24">
      <c r="A37" s="41" t="inlineStr">
        <is>
          <t>CLS-03</t>
        </is>
      </c>
      <c r="B37" s="41" t="inlineStr">
        <is>
          <t>Class Sections</t>
        </is>
      </c>
      <c r="C37" s="41" t="inlineStr">
        <is>
          <t>Create</t>
        </is>
      </c>
      <c r="D37" s="41" t="inlineStr">
        <is>
          <t>Functional</t>
        </is>
      </c>
      <c r="E37" s="41" t="inlineStr">
        <is>
          <t>High</t>
        </is>
      </c>
      <c r="F37" s="41" t="inlineStr">
        <is>
          <t>Admin</t>
        </is>
      </c>
      <c r="G37" s="41" t="n"/>
      <c r="H37" s="41" t="inlineStr">
        <is>
          <t>Add Name 'ZT Class', Section 'A', Stage Primary, Medium English, Stream General, Capacity 30</t>
        </is>
      </c>
      <c r="I37" s="41" t="inlineStr">
        <is>
          <t>Created; appears with display name like 'ZT Class A (2026-2027)'; code auto-generated</t>
        </is>
      </c>
      <c r="J37" s="42" t="n"/>
      <c r="K37" s="42" t="inlineStr">
        <is>
          <t>Not Run</t>
        </is>
      </c>
      <c r="L37" s="42" t="n"/>
      <c r="M37" s="43" t="n"/>
      <c r="N37" s="42" t="n"/>
      <c r="O37" s="42" t="n"/>
    </row>
    <row r="38" ht="15" customHeight="1" s="24">
      <c r="A38" s="41" t="inlineStr">
        <is>
          <t>CLS-04</t>
        </is>
      </c>
      <c r="B38" s="41" t="inlineStr">
        <is>
          <t>Class Sections</t>
        </is>
      </c>
      <c r="C38" s="41" t="inlineStr">
        <is>
          <t>Create</t>
        </is>
      </c>
      <c r="D38" s="41" t="inlineStr">
        <is>
          <t>Negative</t>
        </is>
      </c>
      <c r="E38" s="41" t="inlineStr">
        <is>
          <t>High</t>
        </is>
      </c>
      <c r="F38" s="41" t="inlineStr">
        <is>
          <t>Admin</t>
        </is>
      </c>
      <c r="G38" s="41" t="inlineStr">
        <is>
          <t>ZT Class A exists</t>
        </is>
      </c>
      <c r="H38" s="41" t="inlineStr">
        <is>
          <t>Add the same class again</t>
        </is>
      </c>
      <c r="I38" s="41" t="inlineStr">
        <is>
          <t>Error about duplicate; nothing created</t>
        </is>
      </c>
      <c r="J38" s="42" t="n"/>
      <c r="K38" s="42" t="inlineStr">
        <is>
          <t>Not Run</t>
        </is>
      </c>
      <c r="L38" s="42" t="n"/>
      <c r="M38" s="43" t="n"/>
      <c r="N38" s="42" t="n"/>
      <c r="O38" s="42" t="n"/>
    </row>
    <row r="39" ht="15" customHeight="1" s="24">
      <c r="A39" s="41" t="inlineStr">
        <is>
          <t>CLS-05</t>
        </is>
      </c>
      <c r="B39" s="41" t="inlineStr">
        <is>
          <t>Class Sections</t>
        </is>
      </c>
      <c r="C39" s="41" t="inlineStr">
        <is>
          <t>Create</t>
        </is>
      </c>
      <c r="D39" s="41" t="inlineStr">
        <is>
          <t>Validation</t>
        </is>
      </c>
      <c r="E39" s="41" t="inlineStr">
        <is>
          <t>Medium</t>
        </is>
      </c>
      <c r="F39" s="41" t="inlineStr">
        <is>
          <t>Admin</t>
        </is>
      </c>
      <c r="G39" s="41" t="n"/>
      <c r="H39" s="41" t="inlineStr">
        <is>
          <t>Capacity 0 and 201; Grade 13; Floor 21</t>
        </is>
      </c>
      <c r="I39" s="41" t="inlineStr">
        <is>
          <t>Each gives a validation message</t>
        </is>
      </c>
      <c r="J39" s="42" t="n"/>
      <c r="K39" s="42" t="inlineStr">
        <is>
          <t>Not Run</t>
        </is>
      </c>
      <c r="L39" s="42" t="n"/>
      <c r="M39" s="43" t="n"/>
      <c r="N39" s="42" t="n"/>
      <c r="O39" s="42" t="n"/>
    </row>
    <row r="40" ht="15" customHeight="1" s="24">
      <c r="A40" s="41" t="inlineStr">
        <is>
          <t>CLS-06</t>
        </is>
      </c>
      <c r="B40" s="41" t="inlineStr">
        <is>
          <t>Class Sections</t>
        </is>
      </c>
      <c r="C40" s="41" t="inlineStr">
        <is>
          <t>Create</t>
        </is>
      </c>
      <c r="D40" s="41" t="inlineStr">
        <is>
          <t>Functional</t>
        </is>
      </c>
      <c r="E40" s="41" t="inlineStr">
        <is>
          <t>Low</t>
        </is>
      </c>
      <c r="F40" s="41" t="inlineStr">
        <is>
          <t>Admin</t>
        </is>
      </c>
      <c r="G40" s="41" t="n"/>
      <c r="H40" s="41" t="inlineStr">
        <is>
          <t>Leave Grade blank (LKG/UKG case)</t>
        </is>
      </c>
      <c r="I40" s="41" t="inlineStr">
        <is>
          <t>Accepted</t>
        </is>
      </c>
      <c r="J40" s="42" t="n"/>
      <c r="K40" s="42" t="inlineStr">
        <is>
          <t>Not Run</t>
        </is>
      </c>
      <c r="L40" s="42" t="n"/>
      <c r="M40" s="43" t="n"/>
      <c r="N40" s="42" t="n"/>
      <c r="O40" s="42" t="n"/>
    </row>
    <row r="41" ht="15" customHeight="1" s="24">
      <c r="A41" s="41" t="inlineStr">
        <is>
          <t>CLS-07</t>
        </is>
      </c>
      <c r="B41" s="41" t="inlineStr">
        <is>
          <t>Class Sections</t>
        </is>
      </c>
      <c r="C41" s="41" t="inlineStr">
        <is>
          <t>Edit</t>
        </is>
      </c>
      <c r="D41" s="41" t="inlineStr">
        <is>
          <t>Functional</t>
        </is>
      </c>
      <c r="E41" s="41" t="inlineStr">
        <is>
          <t>Medium</t>
        </is>
      </c>
      <c r="F41" s="41" t="inlineStr">
        <is>
          <t>Admin</t>
        </is>
      </c>
      <c r="G41" s="41" t="n"/>
      <c r="H41" s="41" t="inlineStr">
        <is>
          <t>Edit a class, change Room, Save</t>
        </is>
      </c>
      <c r="I41" s="41" t="inlineStr">
        <is>
          <t>Saved; reflected in the list</t>
        </is>
      </c>
      <c r="J41" s="42" t="n"/>
      <c r="K41" s="42" t="inlineStr">
        <is>
          <t>Not Run</t>
        </is>
      </c>
      <c r="L41" s="42" t="n"/>
      <c r="M41" s="43" t="n"/>
      <c r="N41" s="42" t="n"/>
      <c r="O41" s="42" t="n"/>
    </row>
    <row r="42" ht="15" customHeight="1" s="24">
      <c r="A42" s="41" t="inlineStr">
        <is>
          <t>CLS-08</t>
        </is>
      </c>
      <c r="B42" s="41" t="inlineStr">
        <is>
          <t>Class Sections</t>
        </is>
      </c>
      <c r="C42" s="41" t="inlineStr">
        <is>
          <t>Edit</t>
        </is>
      </c>
      <c r="D42" s="41" t="inlineStr">
        <is>
          <t>Negative</t>
        </is>
      </c>
      <c r="E42" s="41" t="inlineStr">
        <is>
          <t>High</t>
        </is>
      </c>
      <c r="F42" s="41" t="inlineStr">
        <is>
          <t>Admin</t>
        </is>
      </c>
      <c r="G42" s="41" t="inlineStr">
        <is>
          <t>Class with students</t>
        </is>
      </c>
      <c r="H42" s="41" t="inlineStr">
        <is>
          <t>Lower capacity below current student count</t>
        </is>
      </c>
      <c r="I42" s="41" t="inlineStr">
        <is>
          <t>Error 'Capacity cannot be lower than the current strength'</t>
        </is>
      </c>
      <c r="J42" s="42" t="n"/>
      <c r="K42" s="42" t="inlineStr">
        <is>
          <t>Not Run</t>
        </is>
      </c>
      <c r="L42" s="42" t="n"/>
      <c r="M42" s="43" t="n"/>
      <c r="N42" s="42" t="n"/>
      <c r="O42" s="42" t="n"/>
    </row>
    <row r="43" ht="23.25" customHeight="1" s="24">
      <c r="A43" s="41" t="inlineStr">
        <is>
          <t>CLS-09</t>
        </is>
      </c>
      <c r="B43" s="41" t="inlineStr">
        <is>
          <t>Class Sections</t>
        </is>
      </c>
      <c r="C43" s="41" t="inlineStr">
        <is>
          <t>Status</t>
        </is>
      </c>
      <c r="D43" s="41" t="inlineStr">
        <is>
          <t>Functional</t>
        </is>
      </c>
      <c r="E43" s="41" t="inlineStr">
        <is>
          <t>High</t>
        </is>
      </c>
      <c r="F43" s="41" t="inlineStr">
        <is>
          <t>Admin</t>
        </is>
      </c>
      <c r="G43" s="41" t="n"/>
      <c r="H43" s="41" t="inlineStr">
        <is>
          <t>Set the class Inactive</t>
        </is>
      </c>
      <c r="I43" s="41" t="inlineStr">
        <is>
          <t>Row shows Inactive; class no longer appears in admission / student / enrol class lists</t>
        </is>
      </c>
      <c r="J43" s="42" t="n"/>
      <c r="K43" s="42" t="inlineStr">
        <is>
          <t>Not Run</t>
        </is>
      </c>
      <c r="L43" s="42" t="n"/>
      <c r="M43" s="43" t="n"/>
      <c r="N43" s="42" t="n"/>
      <c r="O43" s="42" t="n"/>
    </row>
    <row r="44" ht="15" customHeight="1" s="24">
      <c r="A44" s="41" t="inlineStr">
        <is>
          <t>CLS-10</t>
        </is>
      </c>
      <c r="B44" s="41" t="inlineStr">
        <is>
          <t>Class Sections</t>
        </is>
      </c>
      <c r="C44" s="41" t="inlineStr">
        <is>
          <t>View</t>
        </is>
      </c>
      <c r="D44" s="41" t="inlineStr">
        <is>
          <t>UI</t>
        </is>
      </c>
      <c r="E44" s="41" t="inlineStr">
        <is>
          <t>Low</t>
        </is>
      </c>
      <c r="F44" s="41" t="inlineStr">
        <is>
          <t>Admin</t>
        </is>
      </c>
      <c r="G44" s="41" t="n"/>
      <c r="H44" s="41" t="inlineStr">
        <is>
          <t>Click View (eye)</t>
        </is>
      </c>
      <c r="I44" s="41" t="inlineStr">
        <is>
          <t>Details show enrolled count and teacher info</t>
        </is>
      </c>
      <c r="J44" s="42" t="n"/>
      <c r="K44" s="42" t="inlineStr">
        <is>
          <t>Not Run</t>
        </is>
      </c>
      <c r="L44" s="42" t="n"/>
      <c r="M44" s="43" t="n"/>
      <c r="N44" s="42" t="n"/>
      <c r="O44" s="42" t="n"/>
    </row>
    <row r="45" ht="15" customHeight="1" s="24">
      <c r="A45" s="41" t="inlineStr">
        <is>
          <t>CLS-11</t>
        </is>
      </c>
      <c r="B45" s="41" t="inlineStr">
        <is>
          <t>Class Sections</t>
        </is>
      </c>
      <c r="C45" s="41" t="inlineStr">
        <is>
          <t>Filters</t>
        </is>
      </c>
      <c r="D45" s="41" t="inlineStr">
        <is>
          <t>Functional</t>
        </is>
      </c>
      <c r="E45" s="41" t="inlineStr">
        <is>
          <t>Medium</t>
        </is>
      </c>
      <c r="F45" s="41" t="inlineStr">
        <is>
          <t>Admin</t>
        </is>
      </c>
      <c r="G45" s="41" t="n"/>
      <c r="H45" s="41" t="inlineStr">
        <is>
          <t>Use each filter and the search, then combine, then clear</t>
        </is>
      </c>
      <c r="I45" s="41" t="inlineStr">
        <is>
          <t>Lists narrow correctly; combining works; clearing restores all</t>
        </is>
      </c>
      <c r="J45" s="42" t="n"/>
      <c r="K45" s="42" t="inlineStr">
        <is>
          <t>Not Run</t>
        </is>
      </c>
      <c r="L45" s="42" t="n"/>
      <c r="M45" s="43" t="n"/>
      <c r="N45" s="42" t="n"/>
      <c r="O45" s="42" t="n"/>
    </row>
    <row r="46" ht="15" customHeight="1" s="24">
      <c r="A46" s="41" t="inlineStr">
        <is>
          <t>CLS-12</t>
        </is>
      </c>
      <c r="B46" s="41" t="inlineStr">
        <is>
          <t>Class Sections</t>
        </is>
      </c>
      <c r="C46" s="41" t="inlineStr">
        <is>
          <t>Delete</t>
        </is>
      </c>
      <c r="D46" s="41" t="inlineStr">
        <is>
          <t>Functional</t>
        </is>
      </c>
      <c r="E46" s="41" t="inlineStr">
        <is>
          <t>Medium</t>
        </is>
      </c>
      <c r="F46" s="41" t="inlineStr">
        <is>
          <t>Admin</t>
        </is>
      </c>
      <c r="G46" s="41" t="inlineStr">
        <is>
          <t>Empty class</t>
        </is>
      </c>
      <c r="H46" s="41" t="inlineStr">
        <is>
          <t>Delete the class</t>
        </is>
      </c>
      <c r="I46" s="41" t="inlineStr">
        <is>
          <t>Confirm dialog, then row disappears</t>
        </is>
      </c>
      <c r="J46" s="42" t="n"/>
      <c r="K46" s="42" t="inlineStr">
        <is>
          <t>Not Run</t>
        </is>
      </c>
      <c r="L46" s="42" t="n"/>
      <c r="M46" s="43" t="n"/>
      <c r="N46" s="42" t="n"/>
      <c r="O46" s="42" t="n"/>
    </row>
    <row r="47" ht="15" customHeight="1" s="24">
      <c r="A47" s="41" t="inlineStr">
        <is>
          <t>CLS-13</t>
        </is>
      </c>
      <c r="B47" s="41" t="inlineStr">
        <is>
          <t>Class Sections</t>
        </is>
      </c>
      <c r="C47" s="41" t="inlineStr">
        <is>
          <t>Delete</t>
        </is>
      </c>
      <c r="D47" s="41" t="inlineStr">
        <is>
          <t>Negative</t>
        </is>
      </c>
      <c r="E47" s="41" t="inlineStr">
        <is>
          <t>High</t>
        </is>
      </c>
      <c r="F47" s="41" t="inlineStr">
        <is>
          <t>Admin</t>
        </is>
      </c>
      <c r="G47" s="41" t="inlineStr">
        <is>
          <t>Class with students/subjects</t>
        </is>
      </c>
      <c r="H47" s="41" t="inlineStr">
        <is>
          <t>Delete the class</t>
        </is>
      </c>
      <c r="I47" s="41" t="inlineStr">
        <is>
          <t>Refused with message to mark it Inactive instead</t>
        </is>
      </c>
      <c r="J47" s="42" t="n"/>
      <c r="K47" s="42" t="inlineStr">
        <is>
          <t>Not Run</t>
        </is>
      </c>
      <c r="L47" s="42" t="n"/>
      <c r="M47" s="43" t="n"/>
      <c r="N47" s="42" t="n"/>
      <c r="O47" s="42" t="n"/>
    </row>
    <row r="48" ht="15" customHeight="1" s="24">
      <c r="A48" s="41" t="inlineStr">
        <is>
          <t>CLS-14</t>
        </is>
      </c>
      <c r="B48" s="41" t="inlineStr">
        <is>
          <t>Class Sections</t>
        </is>
      </c>
      <c r="C48" s="41" t="inlineStr">
        <is>
          <t>Permissions</t>
        </is>
      </c>
      <c r="D48" s="41" t="inlineStr">
        <is>
          <t>Security</t>
        </is>
      </c>
      <c r="E48" s="41" t="inlineStr">
        <is>
          <t>High</t>
        </is>
      </c>
      <c r="F48" s="41" t="inlineStr">
        <is>
          <t>Clerk</t>
        </is>
      </c>
      <c r="G48" s="41" t="n"/>
      <c r="H48" s="41" t="inlineStr">
        <is>
          <t>As Clerk try Add / Edit / Delete class</t>
        </is>
      </c>
      <c r="I48" s="41" t="inlineStr">
        <is>
          <t>Server refuses (403); UI shows a clear message; no data changed</t>
        </is>
      </c>
      <c r="J48" s="42" t="n"/>
      <c r="K48" s="42" t="inlineStr">
        <is>
          <t>Not Run</t>
        </is>
      </c>
      <c r="L48" s="42" t="n"/>
      <c r="M48" s="43" t="n"/>
      <c r="N48" s="42" t="n"/>
      <c r="O48" s="42" t="n"/>
    </row>
    <row r="49" ht="15" customHeight="1" s="24">
      <c r="A49" s="41" t="inlineStr">
        <is>
          <t>SUB-01</t>
        </is>
      </c>
      <c r="B49" s="41" t="inlineStr">
        <is>
          <t>Subjects</t>
        </is>
      </c>
      <c r="C49" s="41" t="inlineStr">
        <is>
          <t>List</t>
        </is>
      </c>
      <c r="D49" s="41" t="inlineStr">
        <is>
          <t>Functional</t>
        </is>
      </c>
      <c r="E49" s="41" t="inlineStr">
        <is>
          <t>High</t>
        </is>
      </c>
      <c r="F49" s="41" t="inlineStr">
        <is>
          <t>Admin</t>
        </is>
      </c>
      <c r="G49" s="41" t="n"/>
      <c r="H49" s="41" t="inlineStr">
        <is>
          <t>Open Subjects</t>
        </is>
      </c>
      <c r="I49" s="41" t="inlineStr">
        <is>
          <t>List and filters (Class, Academic Year, Type) work</t>
        </is>
      </c>
      <c r="J49" s="42" t="n"/>
      <c r="K49" s="42" t="inlineStr">
        <is>
          <t>Not Run</t>
        </is>
      </c>
      <c r="L49" s="42" t="n"/>
      <c r="M49" s="43" t="n"/>
      <c r="N49" s="42" t="n"/>
      <c r="O49" s="42" t="n"/>
    </row>
    <row r="50" ht="15" customHeight="1" s="24">
      <c r="A50" s="41" t="inlineStr">
        <is>
          <t>SUB-02</t>
        </is>
      </c>
      <c r="B50" s="41" t="inlineStr">
        <is>
          <t>Subjects</t>
        </is>
      </c>
      <c r="C50" s="41" t="inlineStr">
        <is>
          <t>Create</t>
        </is>
      </c>
      <c r="D50" s="41" t="inlineStr">
        <is>
          <t>Functional</t>
        </is>
      </c>
      <c r="E50" s="41" t="inlineStr">
        <is>
          <t>High</t>
        </is>
      </c>
      <c r="F50" s="41" t="inlineStr">
        <is>
          <t>Admin</t>
        </is>
      </c>
      <c r="G50" s="41" t="inlineStr">
        <is>
          <t>ZT Class A</t>
        </is>
      </c>
      <c r="H50" s="41" t="inlineStr">
        <is>
          <t>Add 'ZT Math', class ZT Class A, Theory, max 100, pass 35</t>
        </is>
      </c>
      <c r="I50" s="41" t="inlineStr">
        <is>
          <t>Created</t>
        </is>
      </c>
      <c r="J50" s="42" t="n"/>
      <c r="K50" s="42" t="inlineStr">
        <is>
          <t>Not Run</t>
        </is>
      </c>
      <c r="L50" s="42" t="n"/>
      <c r="M50" s="43" t="n"/>
      <c r="N50" s="42" t="n"/>
      <c r="O50" s="42" t="n"/>
    </row>
    <row r="51" ht="23.25" customHeight="1" s="24">
      <c r="A51" s="41" t="inlineStr">
        <is>
          <t>SUB-03</t>
        </is>
      </c>
      <c r="B51" s="41" t="inlineStr">
        <is>
          <t>Subjects</t>
        </is>
      </c>
      <c r="C51" s="41" t="inlineStr">
        <is>
          <t>Create</t>
        </is>
      </c>
      <c r="D51" s="41" t="inlineStr">
        <is>
          <t>UI</t>
        </is>
      </c>
      <c r="E51" s="41" t="inlineStr">
        <is>
          <t>Medium</t>
        </is>
      </c>
      <c r="F51" s="41" t="inlineStr">
        <is>
          <t>Admin</t>
        </is>
      </c>
      <c r="G51" s="41" t="n"/>
      <c r="H51" s="41" t="inlineStr">
        <is>
          <t>Switch Type to Both</t>
        </is>
      </c>
      <c r="I51" s="41" t="inlineStr">
        <is>
          <t>Theory max/pass and Practical max/pass fields appear; single max/pass hidden</t>
        </is>
      </c>
      <c r="J51" s="42" t="n"/>
      <c r="K51" s="42" t="inlineStr">
        <is>
          <t>Not Run</t>
        </is>
      </c>
      <c r="L51" s="42" t="n"/>
      <c r="M51" s="43" t="n"/>
      <c r="N51" s="42" t="n"/>
      <c r="O51" s="42" t="n"/>
    </row>
    <row r="52" ht="15" customHeight="1" s="24">
      <c r="A52" s="41" t="inlineStr">
        <is>
          <t>SUB-04</t>
        </is>
      </c>
      <c r="B52" s="41" t="inlineStr">
        <is>
          <t>Subjects</t>
        </is>
      </c>
      <c r="C52" s="41" t="inlineStr">
        <is>
          <t>Create</t>
        </is>
      </c>
      <c r="D52" s="41" t="inlineStr">
        <is>
          <t>Validation</t>
        </is>
      </c>
      <c r="E52" s="41" t="inlineStr">
        <is>
          <t>Medium</t>
        </is>
      </c>
      <c r="F52" s="41" t="inlineStr">
        <is>
          <t>Admin</t>
        </is>
      </c>
      <c r="G52" s="41" t="n"/>
      <c r="H52" s="41" t="inlineStr">
        <is>
          <t>Type Both, leave Theory max empty, Save</t>
        </is>
      </c>
      <c r="I52" s="41" t="inlineStr">
        <is>
          <t>Message shown; nothing sent</t>
        </is>
      </c>
      <c r="J52" s="42" t="n"/>
      <c r="K52" s="42" t="inlineStr">
        <is>
          <t>Not Run</t>
        </is>
      </c>
      <c r="L52" s="42" t="n"/>
      <c r="M52" s="43" t="n"/>
      <c r="N52" s="42" t="n"/>
      <c r="O52" s="42" t="n"/>
    </row>
    <row r="53" ht="15" customHeight="1" s="24">
      <c r="A53" s="41" t="inlineStr">
        <is>
          <t>SUB-05</t>
        </is>
      </c>
      <c r="B53" s="41" t="inlineStr">
        <is>
          <t>Subjects</t>
        </is>
      </c>
      <c r="C53" s="41" t="inlineStr">
        <is>
          <t>Create</t>
        </is>
      </c>
      <c r="D53" s="41" t="inlineStr">
        <is>
          <t>Validation</t>
        </is>
      </c>
      <c r="E53" s="41" t="inlineStr">
        <is>
          <t>High</t>
        </is>
      </c>
      <c r="F53" s="41" t="inlineStr">
        <is>
          <t>Admin</t>
        </is>
      </c>
      <c r="G53" s="41" t="n"/>
      <c r="H53" s="41" t="inlineStr">
        <is>
          <t>Pass marks greater than max marks</t>
        </is>
      </c>
      <c r="I53" s="41" t="inlineStr">
        <is>
          <t>Validation message</t>
        </is>
      </c>
      <c r="J53" s="42" t="n"/>
      <c r="K53" s="42" t="inlineStr">
        <is>
          <t>Not Run</t>
        </is>
      </c>
      <c r="L53" s="42" t="n"/>
      <c r="M53" s="43" t="n"/>
      <c r="N53" s="42" t="n"/>
      <c r="O53" s="42" t="n"/>
    </row>
    <row r="54" ht="15" customHeight="1" s="24">
      <c r="A54" s="41" t="inlineStr">
        <is>
          <t>SUB-06</t>
        </is>
      </c>
      <c r="B54" s="41" t="inlineStr">
        <is>
          <t>Subjects</t>
        </is>
      </c>
      <c r="C54" s="41" t="inlineStr">
        <is>
          <t>Create</t>
        </is>
      </c>
      <c r="D54" s="41" t="inlineStr">
        <is>
          <t>Functional</t>
        </is>
      </c>
      <c r="E54" s="41" t="inlineStr">
        <is>
          <t>Low</t>
        </is>
      </c>
      <c r="F54" s="41" t="inlineStr">
        <is>
          <t>Admin</t>
        </is>
      </c>
      <c r="G54" s="41" t="n"/>
      <c r="H54" s="41" t="inlineStr">
        <is>
          <t>Leave Code empty</t>
        </is>
      </c>
      <c r="I54" s="41" t="inlineStr">
        <is>
          <t>Code auto-generated from the name</t>
        </is>
      </c>
      <c r="J54" s="42" t="n"/>
      <c r="K54" s="42" t="inlineStr">
        <is>
          <t>Not Run</t>
        </is>
      </c>
      <c r="L54" s="42" t="n"/>
      <c r="M54" s="43" t="n"/>
      <c r="N54" s="42" t="n"/>
      <c r="O54" s="42" t="n"/>
    </row>
    <row r="55" ht="15" customHeight="1" s="24">
      <c r="A55" s="41" t="inlineStr">
        <is>
          <t>SUB-07</t>
        </is>
      </c>
      <c r="B55" s="41" t="inlineStr">
        <is>
          <t>Subjects</t>
        </is>
      </c>
      <c r="C55" s="41" t="inlineStr">
        <is>
          <t>Create</t>
        </is>
      </c>
      <c r="D55" s="41" t="inlineStr">
        <is>
          <t>Negative</t>
        </is>
      </c>
      <c r="E55" s="41" t="inlineStr">
        <is>
          <t>High</t>
        </is>
      </c>
      <c r="F55" s="41" t="inlineStr">
        <is>
          <t>Admin</t>
        </is>
      </c>
      <c r="G55" s="41" t="n"/>
      <c r="H55" s="41" t="inlineStr">
        <is>
          <t>Create a second subject with the same code in the same class</t>
        </is>
      </c>
      <c r="I55" s="41" t="inlineStr">
        <is>
          <t>Error 'Subject Code + Class must be unique'</t>
        </is>
      </c>
      <c r="J55" s="42" t="n"/>
      <c r="K55" s="42" t="inlineStr">
        <is>
          <t>Not Run</t>
        </is>
      </c>
      <c r="L55" s="42" t="n"/>
      <c r="M55" s="43" t="n"/>
      <c r="N55" s="42" t="n"/>
      <c r="O55" s="42" t="n"/>
    </row>
    <row r="56" ht="15" customHeight="1" s="24">
      <c r="A56" s="41" t="inlineStr">
        <is>
          <t>SUB-08</t>
        </is>
      </c>
      <c r="B56" s="41" t="inlineStr">
        <is>
          <t>Subjects</t>
        </is>
      </c>
      <c r="C56" s="41" t="inlineStr">
        <is>
          <t>Edit</t>
        </is>
      </c>
      <c r="D56" s="41" t="inlineStr">
        <is>
          <t>Functional</t>
        </is>
      </c>
      <c r="E56" s="41" t="inlineStr">
        <is>
          <t>Medium</t>
        </is>
      </c>
      <c r="F56" s="41" t="inlineStr">
        <is>
          <t>Admin</t>
        </is>
      </c>
      <c r="G56" s="41" t="n"/>
      <c r="H56" s="41" t="inlineStr">
        <is>
          <t>Edit marks and save</t>
        </is>
      </c>
      <c r="I56" s="41" t="inlineStr">
        <is>
          <t>Saved</t>
        </is>
      </c>
      <c r="J56" s="42" t="n"/>
      <c r="K56" s="42" t="inlineStr">
        <is>
          <t>Not Run</t>
        </is>
      </c>
      <c r="L56" s="42" t="n"/>
      <c r="M56" s="43" t="n"/>
      <c r="N56" s="42" t="n"/>
      <c r="O56" s="42" t="n"/>
    </row>
    <row r="57" ht="15" customHeight="1" s="24">
      <c r="A57" s="41" t="inlineStr">
        <is>
          <t>SUB-09</t>
        </is>
      </c>
      <c r="B57" s="41" t="inlineStr">
        <is>
          <t>Subjects</t>
        </is>
      </c>
      <c r="C57" s="41" t="inlineStr">
        <is>
          <t>Filters</t>
        </is>
      </c>
      <c r="D57" s="41" t="inlineStr">
        <is>
          <t>Functional</t>
        </is>
      </c>
      <c r="E57" s="41" t="inlineStr">
        <is>
          <t>Medium</t>
        </is>
      </c>
      <c r="F57" s="41" t="inlineStr">
        <is>
          <t>Admin</t>
        </is>
      </c>
      <c r="G57" s="41" t="n"/>
      <c r="H57" s="41" t="inlineStr">
        <is>
          <t>Filters and search, combined</t>
        </is>
      </c>
      <c r="I57" s="41" t="inlineStr">
        <is>
          <t>Work and combine</t>
        </is>
      </c>
      <c r="J57" s="42" t="n"/>
      <c r="K57" s="42" t="inlineStr">
        <is>
          <t>Not Run</t>
        </is>
      </c>
      <c r="L57" s="42" t="n"/>
      <c r="M57" s="43" t="n"/>
      <c r="N57" s="42" t="n"/>
      <c r="O57" s="42" t="n"/>
    </row>
    <row r="58" ht="15" customHeight="1" s="24">
      <c r="A58" s="41" t="inlineStr">
        <is>
          <t>SUB-10</t>
        </is>
      </c>
      <c r="B58" s="41" t="inlineStr">
        <is>
          <t>Subjects</t>
        </is>
      </c>
      <c r="C58" s="41" t="inlineStr">
        <is>
          <t>Delete</t>
        </is>
      </c>
      <c r="D58" s="41" t="inlineStr">
        <is>
          <t>Functional</t>
        </is>
      </c>
      <c r="E58" s="41" t="inlineStr">
        <is>
          <t>Medium</t>
        </is>
      </c>
      <c r="F58" s="41" t="inlineStr">
        <is>
          <t>Admin</t>
        </is>
      </c>
      <c r="G58" s="41" t="n"/>
      <c r="H58" s="41" t="inlineStr">
        <is>
          <t>Delete a subject</t>
        </is>
      </c>
      <c r="I58" s="41" t="inlineStr">
        <is>
          <t>Confirm, then removed</t>
        </is>
      </c>
      <c r="J58" s="42" t="n"/>
      <c r="K58" s="42" t="inlineStr">
        <is>
          <t>Not Run</t>
        </is>
      </c>
      <c r="L58" s="42" t="n"/>
      <c r="M58" s="43" t="n"/>
      <c r="N58" s="42" t="n"/>
      <c r="O58" s="42" t="n"/>
    </row>
    <row r="59" ht="15" customHeight="1" s="24">
      <c r="A59" s="41" t="inlineStr">
        <is>
          <t>SUB-11</t>
        </is>
      </c>
      <c r="B59" s="41" t="inlineStr">
        <is>
          <t>Subjects</t>
        </is>
      </c>
      <c r="C59" s="41" t="inlineStr">
        <is>
          <t>Teacher link</t>
        </is>
      </c>
      <c r="D59" s="41" t="inlineStr">
        <is>
          <t>Functional</t>
        </is>
      </c>
      <c r="E59" s="41" t="inlineStr">
        <is>
          <t>Medium</t>
        </is>
      </c>
      <c r="F59" s="41" t="inlineStr">
        <is>
          <t>Admin</t>
        </is>
      </c>
      <c r="G59" s="41" t="inlineStr">
        <is>
          <t>Subject assigned to a teacher</t>
        </is>
      </c>
      <c r="H59" s="41" t="inlineStr">
        <is>
          <t>View the subject</t>
        </is>
      </c>
      <c r="I59" s="41" t="inlineStr">
        <is>
          <t>Teacher name shown</t>
        </is>
      </c>
      <c r="J59" s="42" t="n"/>
      <c r="K59" s="42" t="inlineStr">
        <is>
          <t>Not Run</t>
        </is>
      </c>
      <c r="L59" s="42" t="n"/>
      <c r="M59" s="43" t="n"/>
      <c r="N59" s="42" t="n"/>
      <c r="O59" s="42" t="n"/>
    </row>
    <row r="60" ht="15" customHeight="1" s="24">
      <c r="A60" s="41" t="inlineStr">
        <is>
          <t>TCH-01</t>
        </is>
      </c>
      <c r="B60" s="41" t="inlineStr">
        <is>
          <t>Teachers</t>
        </is>
      </c>
      <c r="C60" s="41" t="inlineStr">
        <is>
          <t>List</t>
        </is>
      </c>
      <c r="D60" s="41" t="inlineStr">
        <is>
          <t>Functional</t>
        </is>
      </c>
      <c r="E60" s="41" t="inlineStr">
        <is>
          <t>High</t>
        </is>
      </c>
      <c r="F60" s="41" t="inlineStr">
        <is>
          <t>Admin</t>
        </is>
      </c>
      <c r="G60" s="41" t="n"/>
      <c r="H60" s="41" t="inlineStr">
        <is>
          <t>Open Teachers</t>
        </is>
      </c>
      <c r="I60" s="41" t="inlineStr">
        <is>
          <t>Stat tiles (All/Active/Inactive/Suspended) show correct counts; list loads</t>
        </is>
      </c>
      <c r="J60" s="42" t="n"/>
      <c r="K60" s="42" t="inlineStr">
        <is>
          <t>Not Run</t>
        </is>
      </c>
      <c r="L60" s="42" t="n"/>
      <c r="M60" s="43" t="n"/>
      <c r="N60" s="42" t="n"/>
      <c r="O60" s="42" t="n"/>
    </row>
    <row r="61" ht="15" customHeight="1" s="24">
      <c r="A61" s="41" t="inlineStr">
        <is>
          <t>TCH-02</t>
        </is>
      </c>
      <c r="B61" s="41" t="inlineStr">
        <is>
          <t>Teachers</t>
        </is>
      </c>
      <c r="C61" s="41" t="inlineStr">
        <is>
          <t>List</t>
        </is>
      </c>
      <c r="D61" s="41" t="inlineStr">
        <is>
          <t>Functional</t>
        </is>
      </c>
      <c r="E61" s="41" t="inlineStr">
        <is>
          <t>Medium</t>
        </is>
      </c>
      <c r="F61" s="41" t="inlineStr">
        <is>
          <t>Admin</t>
        </is>
      </c>
      <c r="G61" s="41" t="n"/>
      <c r="H61" s="41" t="inlineStr">
        <is>
          <t>Click a status tile</t>
        </is>
      </c>
      <c r="I61" s="41" t="inlineStr">
        <is>
          <t>List filters to that status</t>
        </is>
      </c>
      <c r="J61" s="42" t="n"/>
      <c r="K61" s="42" t="inlineStr">
        <is>
          <t>Not Run</t>
        </is>
      </c>
      <c r="L61" s="42" t="n"/>
      <c r="M61" s="43" t="n"/>
      <c r="N61" s="42" t="n"/>
      <c r="O61" s="42" t="n"/>
    </row>
    <row r="62" ht="23.25" customHeight="1" s="24">
      <c r="A62" s="41" t="inlineStr">
        <is>
          <t>TCH-03</t>
        </is>
      </c>
      <c r="B62" s="41" t="inlineStr">
        <is>
          <t>Teachers</t>
        </is>
      </c>
      <c r="C62" s="41" t="inlineStr">
        <is>
          <t>Create</t>
        </is>
      </c>
      <c r="D62" s="41" t="inlineStr">
        <is>
          <t>Functional</t>
        </is>
      </c>
      <c r="E62" s="41" t="inlineStr">
        <is>
          <t>High</t>
        </is>
      </c>
      <c r="F62" s="41" t="inlineStr">
        <is>
          <t>Admin</t>
        </is>
      </c>
      <c r="G62" s="41" t="n"/>
      <c r="H62" s="41" t="inlineStr">
        <is>
          <t>Add Teacher with all fields and a strong password (use Users &amp; Staff &gt; New with role Teacher if redirected)</t>
        </is>
      </c>
      <c r="I62" s="41" t="inlineStr">
        <is>
          <t>Created; counts update; teacher can log in</t>
        </is>
      </c>
      <c r="J62" s="42" t="n"/>
      <c r="K62" s="42" t="inlineStr">
        <is>
          <t>Not Run</t>
        </is>
      </c>
      <c r="L62" s="42" t="n"/>
      <c r="M62" s="43" t="n"/>
      <c r="N62" s="42" t="n"/>
      <c r="O62" s="42" t="n"/>
    </row>
    <row r="63" ht="23.25" customHeight="1" s="24">
      <c r="A63" s="41" t="inlineStr">
        <is>
          <t>TCH-04</t>
        </is>
      </c>
      <c r="B63" s="41" t="inlineStr">
        <is>
          <t>Teachers</t>
        </is>
      </c>
      <c r="C63" s="41" t="inlineStr">
        <is>
          <t>Create</t>
        </is>
      </c>
      <c r="D63" s="41" t="inlineStr">
        <is>
          <t>Validation</t>
        </is>
      </c>
      <c r="E63" s="41" t="inlineStr">
        <is>
          <t>High</t>
        </is>
      </c>
      <c r="F63" s="41" t="inlineStr">
        <is>
          <t>Admin</t>
        </is>
      </c>
      <c r="G63" s="41" t="n"/>
      <c r="H63" s="41" t="inlineStr">
        <is>
          <t>Use weak password 'abc'</t>
        </is>
      </c>
      <c r="I63" s="41" t="inlineStr">
        <is>
          <t>Message states exactly what is missing (8 chars, upper case, digit, special)</t>
        </is>
      </c>
      <c r="J63" s="42" t="n"/>
      <c r="K63" s="42" t="inlineStr">
        <is>
          <t>Not Run</t>
        </is>
      </c>
      <c r="L63" s="42" t="n"/>
      <c r="M63" s="43" t="n"/>
      <c r="N63" s="42" t="n"/>
      <c r="O63" s="42" t="n"/>
    </row>
    <row r="64" ht="15" customHeight="1" s="24">
      <c r="A64" s="41" t="inlineStr">
        <is>
          <t>TCH-05</t>
        </is>
      </c>
      <c r="B64" s="41" t="inlineStr">
        <is>
          <t>Teachers</t>
        </is>
      </c>
      <c r="C64" s="41" t="inlineStr">
        <is>
          <t>Create</t>
        </is>
      </c>
      <c r="D64" s="41" t="inlineStr">
        <is>
          <t>Validation</t>
        </is>
      </c>
      <c r="E64" s="41" t="inlineStr">
        <is>
          <t>Medium</t>
        </is>
      </c>
      <c r="F64" s="41" t="inlineStr">
        <is>
          <t>Admin</t>
        </is>
      </c>
      <c r="G64" s="41" t="n"/>
      <c r="H64" s="41" t="inlineStr">
        <is>
          <t>Leave the password empty</t>
        </is>
      </c>
      <c r="I64" s="41" t="inlineStr">
        <is>
          <t>'Login password is required.'</t>
        </is>
      </c>
      <c r="J64" s="42" t="n"/>
      <c r="K64" s="42" t="inlineStr">
        <is>
          <t>Not Run</t>
        </is>
      </c>
      <c r="L64" s="42" t="n"/>
      <c r="M64" s="43" t="n"/>
      <c r="N64" s="42" t="n"/>
      <c r="O64" s="42" t="n"/>
    </row>
    <row r="65" ht="15" customHeight="1" s="24">
      <c r="A65" s="41" t="inlineStr">
        <is>
          <t>TCH-06</t>
        </is>
      </c>
      <c r="B65" s="41" t="inlineStr">
        <is>
          <t>Teachers</t>
        </is>
      </c>
      <c r="C65" s="41" t="inlineStr">
        <is>
          <t>Create</t>
        </is>
      </c>
      <c r="D65" s="41" t="inlineStr">
        <is>
          <t>Negative</t>
        </is>
      </c>
      <c r="E65" s="41" t="inlineStr">
        <is>
          <t>High</t>
        </is>
      </c>
      <c r="F65" s="41" t="inlineStr">
        <is>
          <t>Admin</t>
        </is>
      </c>
      <c r="G65" s="41" t="n"/>
      <c r="H65" s="41" t="inlineStr">
        <is>
          <t>Use a username or e-mail that already exists</t>
        </is>
      </c>
      <c r="I65" s="41" t="inlineStr">
        <is>
          <t>Error modal about duplicate</t>
        </is>
      </c>
      <c r="J65" s="42" t="n"/>
      <c r="K65" s="42" t="inlineStr">
        <is>
          <t>Not Run</t>
        </is>
      </c>
      <c r="L65" s="42" t="n"/>
      <c r="M65" s="43" t="n"/>
      <c r="N65" s="42" t="n"/>
      <c r="O65" s="42" t="n"/>
    </row>
    <row r="66" ht="15" customHeight="1" s="24">
      <c r="A66" s="41" t="inlineStr">
        <is>
          <t>TCH-07</t>
        </is>
      </c>
      <c r="B66" s="41" t="inlineStr">
        <is>
          <t>Teachers</t>
        </is>
      </c>
      <c r="C66" s="41" t="inlineStr">
        <is>
          <t>Edit</t>
        </is>
      </c>
      <c r="D66" s="41" t="inlineStr">
        <is>
          <t>Functional</t>
        </is>
      </c>
      <c r="E66" s="41" t="inlineStr">
        <is>
          <t>Medium</t>
        </is>
      </c>
      <c r="F66" s="41" t="inlineStr">
        <is>
          <t>Admin</t>
        </is>
      </c>
      <c r="G66" s="41" t="n"/>
      <c r="H66" s="41" t="inlineStr">
        <is>
          <t>Edit teacher, leave password blank, Save</t>
        </is>
      </c>
      <c r="I66" s="41" t="inlineStr">
        <is>
          <t>Saved; old password still works</t>
        </is>
      </c>
      <c r="J66" s="42" t="n"/>
      <c r="K66" s="42" t="inlineStr">
        <is>
          <t>Not Run</t>
        </is>
      </c>
      <c r="L66" s="42" t="n"/>
      <c r="M66" s="43" t="n"/>
      <c r="N66" s="42" t="n"/>
      <c r="O66" s="42" t="n"/>
    </row>
    <row r="67" ht="15" customHeight="1" s="24">
      <c r="A67" s="41" t="inlineStr">
        <is>
          <t>TCH-08</t>
        </is>
      </c>
      <c r="B67" s="41" t="inlineStr">
        <is>
          <t>Teachers</t>
        </is>
      </c>
      <c r="C67" s="41" t="inlineStr">
        <is>
          <t>Status</t>
        </is>
      </c>
      <c r="D67" s="41" t="inlineStr">
        <is>
          <t>Security</t>
        </is>
      </c>
      <c r="E67" s="41" t="inlineStr">
        <is>
          <t>High</t>
        </is>
      </c>
      <c r="F67" s="41" t="inlineStr">
        <is>
          <t>Admin</t>
        </is>
      </c>
      <c r="G67" s="41" t="n"/>
      <c r="H67" s="41" t="inlineStr">
        <is>
          <t>Set the teacher to Suspended (from Users &amp; Staff)</t>
        </is>
      </c>
      <c r="I67" s="41" t="inlineStr">
        <is>
          <t>Counts update; teacher is signed out and can no longer log in</t>
        </is>
      </c>
      <c r="J67" s="42" t="n"/>
      <c r="K67" s="42" t="inlineStr">
        <is>
          <t>Not Run</t>
        </is>
      </c>
      <c r="L67" s="42" t="n"/>
      <c r="M67" s="43" t="n"/>
      <c r="N67" s="42" t="n"/>
      <c r="O67" s="42" t="n"/>
    </row>
    <row r="68" ht="15" customHeight="1" s="24">
      <c r="A68" s="41" t="inlineStr">
        <is>
          <t>TCH-09</t>
        </is>
      </c>
      <c r="B68" s="41" t="inlineStr">
        <is>
          <t>Teachers</t>
        </is>
      </c>
      <c r="C68" s="41" t="inlineStr">
        <is>
          <t>Assignments</t>
        </is>
      </c>
      <c r="D68" s="41" t="inlineStr">
        <is>
          <t>Functional</t>
        </is>
      </c>
      <c r="E68" s="41" t="inlineStr">
        <is>
          <t>High</t>
        </is>
      </c>
      <c r="F68" s="41" t="inlineStr">
        <is>
          <t>Admin</t>
        </is>
      </c>
      <c r="G68" s="41" t="inlineStr">
        <is>
          <t>Subjects exist</t>
        </is>
      </c>
      <c r="H68" s="41" t="inlineStr">
        <is>
          <t>Open Teacher Profile &amp; Assignments</t>
        </is>
      </c>
      <c r="I68" s="41" t="inlineStr">
        <is>
          <t>Stat tiles shown; assigned subjects grouped by class</t>
        </is>
      </c>
      <c r="J68" s="42" t="n"/>
      <c r="K68" s="42" t="inlineStr">
        <is>
          <t>Not Run</t>
        </is>
      </c>
      <c r="L68" s="42" t="n"/>
      <c r="M68" s="43" t="n"/>
      <c r="N68" s="42" t="n"/>
      <c r="O68" s="42" t="n"/>
    </row>
    <row r="69" ht="23.25" customHeight="1" s="24">
      <c r="A69" s="41" t="inlineStr">
        <is>
          <t>TCH-10</t>
        </is>
      </c>
      <c r="B69" s="41" t="inlineStr">
        <is>
          <t>Teachers</t>
        </is>
      </c>
      <c r="C69" s="41" t="inlineStr">
        <is>
          <t>Assignments</t>
        </is>
      </c>
      <c r="D69" s="41" t="inlineStr">
        <is>
          <t>Functional</t>
        </is>
      </c>
      <c r="E69" s="41" t="inlineStr">
        <is>
          <t>High</t>
        </is>
      </c>
      <c r="F69" s="41" t="inlineStr">
        <is>
          <t>Admin</t>
        </is>
      </c>
      <c r="G69" s="41" t="n"/>
      <c r="H69" s="41" t="inlineStr">
        <is>
          <t>Pick a class: subject checklist</t>
        </is>
      </c>
      <c r="I69" s="41" t="inlineStr">
        <is>
          <t>Only that class's subjects; one already taught by another teacher is disabled with 'Already taught by &lt;name&gt;'</t>
        </is>
      </c>
      <c r="J69" s="42" t="n"/>
      <c r="K69" s="42" t="inlineStr">
        <is>
          <t>Not Run</t>
        </is>
      </c>
      <c r="L69" s="42" t="n"/>
      <c r="M69" s="43" t="n"/>
      <c r="N69" s="42" t="n"/>
      <c r="O69" s="42" t="n"/>
    </row>
    <row r="70" ht="15" customHeight="1" s="24">
      <c r="A70" s="41" t="inlineStr">
        <is>
          <t>TCH-11</t>
        </is>
      </c>
      <c r="B70" s="41" t="inlineStr">
        <is>
          <t>Teachers</t>
        </is>
      </c>
      <c r="C70" s="41" t="inlineStr">
        <is>
          <t>Assignments</t>
        </is>
      </c>
      <c r="D70" s="41" t="inlineStr">
        <is>
          <t>Functional</t>
        </is>
      </c>
      <c r="E70" s="41" t="inlineStr">
        <is>
          <t>High</t>
        </is>
      </c>
      <c r="F70" s="41" t="inlineStr">
        <is>
          <t>Admin</t>
        </is>
      </c>
      <c r="G70" s="41" t="n"/>
      <c r="H70" s="41" t="inlineStr">
        <is>
          <t>Assign subjects</t>
        </is>
      </c>
      <c r="I70" s="41" t="inlineStr">
        <is>
          <t>Appear in the teacher's profile</t>
        </is>
      </c>
      <c r="J70" s="42" t="n"/>
      <c r="K70" s="42" t="inlineStr">
        <is>
          <t>Not Run</t>
        </is>
      </c>
      <c r="L70" s="42" t="n"/>
      <c r="M70" s="43" t="n"/>
      <c r="N70" s="42" t="n"/>
      <c r="O70" s="42" t="n"/>
    </row>
    <row r="71" ht="15" customHeight="1" s="24">
      <c r="A71" s="41" t="inlineStr">
        <is>
          <t>TCH-12</t>
        </is>
      </c>
      <c r="B71" s="41" t="inlineStr">
        <is>
          <t>Teachers</t>
        </is>
      </c>
      <c r="C71" s="41" t="inlineStr">
        <is>
          <t>Assignments</t>
        </is>
      </c>
      <c r="D71" s="41" t="inlineStr">
        <is>
          <t>Functional</t>
        </is>
      </c>
      <c r="E71" s="41" t="inlineStr">
        <is>
          <t>High</t>
        </is>
      </c>
      <c r="F71" s="41" t="inlineStr">
        <is>
          <t>Admin</t>
        </is>
      </c>
      <c r="G71" s="41" t="n"/>
      <c r="H71" s="41" t="inlineStr">
        <is>
          <t>Tick 'Assign as Class Teacher' while assigning</t>
        </is>
      </c>
      <c r="I71" s="41" t="inlineStr">
        <is>
          <t>Class shows a star 'Class Teacher'</t>
        </is>
      </c>
      <c r="J71" s="42" t="n"/>
      <c r="K71" s="42" t="inlineStr">
        <is>
          <t>Not Run</t>
        </is>
      </c>
      <c r="L71" s="42" t="n"/>
      <c r="M71" s="43" t="n"/>
      <c r="N71" s="42" t="n"/>
      <c r="O71" s="42" t="n"/>
    </row>
    <row r="72" ht="15" customHeight="1" s="24">
      <c r="A72" s="41" t="inlineStr">
        <is>
          <t>TCH-13</t>
        </is>
      </c>
      <c r="B72" s="41" t="inlineStr">
        <is>
          <t>Teachers</t>
        </is>
      </c>
      <c r="C72" s="41" t="inlineStr">
        <is>
          <t>Assignments</t>
        </is>
      </c>
      <c r="D72" s="41" t="inlineStr">
        <is>
          <t>Negative</t>
        </is>
      </c>
      <c r="E72" s="41" t="inlineStr">
        <is>
          <t>High</t>
        </is>
      </c>
      <c r="F72" s="41" t="inlineStr">
        <is>
          <t>Admin</t>
        </is>
      </c>
      <c r="G72" s="41" t="inlineStr">
        <is>
          <t>Class already has a class teacher</t>
        </is>
      </c>
      <c r="H72" s="41" t="inlineStr">
        <is>
          <t>Make another teacher class teacher</t>
        </is>
      </c>
      <c r="I72" s="41" t="inlineStr">
        <is>
          <t>Error naming the current class teacher</t>
        </is>
      </c>
      <c r="J72" s="42" t="n"/>
      <c r="K72" s="42" t="inlineStr">
        <is>
          <t>Not Run</t>
        </is>
      </c>
      <c r="L72" s="42" t="n"/>
      <c r="M72" s="43" t="n"/>
      <c r="N72" s="42" t="n"/>
      <c r="O72" s="42" t="n"/>
    </row>
    <row r="73" ht="15" customHeight="1" s="24">
      <c r="A73" s="41" t="inlineStr">
        <is>
          <t>TCH-14</t>
        </is>
      </c>
      <c r="B73" s="41" t="inlineStr">
        <is>
          <t>Teachers</t>
        </is>
      </c>
      <c r="C73" s="41" t="inlineStr">
        <is>
          <t>Assignments</t>
        </is>
      </c>
      <c r="D73" s="41" t="inlineStr">
        <is>
          <t>Functional</t>
        </is>
      </c>
      <c r="E73" s="41" t="inlineStr">
        <is>
          <t>Medium</t>
        </is>
      </c>
      <c r="F73" s="41" t="inlineStr">
        <is>
          <t>Admin</t>
        </is>
      </c>
      <c r="G73" s="41" t="n"/>
      <c r="H73" s="41" t="inlineStr">
        <is>
          <t>Unset class teacher</t>
        </is>
      </c>
      <c r="I73" s="41" t="inlineStr">
        <is>
          <t>Star removed</t>
        </is>
      </c>
      <c r="J73" s="42" t="n"/>
      <c r="K73" s="42" t="inlineStr">
        <is>
          <t>Not Run</t>
        </is>
      </c>
      <c r="L73" s="42" t="n"/>
      <c r="M73" s="43" t="n"/>
      <c r="N73" s="42" t="n"/>
      <c r="O73" s="42" t="n"/>
    </row>
    <row r="74" ht="15" customHeight="1" s="24">
      <c r="A74" s="41" t="inlineStr">
        <is>
          <t>TCH-15</t>
        </is>
      </c>
      <c r="B74" s="41" t="inlineStr">
        <is>
          <t>Teachers</t>
        </is>
      </c>
      <c r="C74" s="41" t="inlineStr">
        <is>
          <t>Assignments</t>
        </is>
      </c>
      <c r="D74" s="41" t="inlineStr">
        <is>
          <t>Functional</t>
        </is>
      </c>
      <c r="E74" s="41" t="inlineStr">
        <is>
          <t>Medium</t>
        </is>
      </c>
      <c r="F74" s="41" t="inlineStr">
        <is>
          <t>Admin</t>
        </is>
      </c>
      <c r="G74" s="41" t="n"/>
      <c r="H74" s="41" t="inlineStr">
        <is>
          <t>Remove a subject assignment</t>
        </is>
      </c>
      <c r="I74" s="41" t="inlineStr">
        <is>
          <t>Unassigned</t>
        </is>
      </c>
      <c r="J74" s="42" t="n"/>
      <c r="K74" s="42" t="inlineStr">
        <is>
          <t>Not Run</t>
        </is>
      </c>
      <c r="L74" s="42" t="n"/>
      <c r="M74" s="43" t="n"/>
      <c r="N74" s="42" t="n"/>
      <c r="O74" s="42" t="n"/>
    </row>
    <row r="75" ht="15" customHeight="1" s="24">
      <c r="A75" s="41" t="inlineStr">
        <is>
          <t>TCH-16</t>
        </is>
      </c>
      <c r="B75" s="41" t="inlineStr">
        <is>
          <t>Teachers</t>
        </is>
      </c>
      <c r="C75" s="41" t="inlineStr">
        <is>
          <t>Delete</t>
        </is>
      </c>
      <c r="D75" s="41" t="inlineStr">
        <is>
          <t>Negative</t>
        </is>
      </c>
      <c r="E75" s="41" t="inlineStr">
        <is>
          <t>High</t>
        </is>
      </c>
      <c r="F75" s="41" t="inlineStr">
        <is>
          <t>Admin</t>
        </is>
      </c>
      <c r="G75" s="41" t="inlineStr">
        <is>
          <t>Teacher with assignments</t>
        </is>
      </c>
      <c r="H75" s="41" t="inlineStr">
        <is>
          <t>Delete the teacher</t>
        </is>
      </c>
      <c r="I75" s="41" t="inlineStr">
        <is>
          <t>Refused with counts of what blocks it</t>
        </is>
      </c>
      <c r="J75" s="42" t="n"/>
      <c r="K75" s="42" t="inlineStr">
        <is>
          <t>Not Run</t>
        </is>
      </c>
      <c r="L75" s="42" t="n"/>
      <c r="M75" s="43" t="n"/>
      <c r="N75" s="42" t="n"/>
      <c r="O75" s="42" t="n"/>
    </row>
    <row r="76" ht="15" customHeight="1" s="24">
      <c r="A76" s="41" t="inlineStr">
        <is>
          <t>TCH-17</t>
        </is>
      </c>
      <c r="B76" s="41" t="inlineStr">
        <is>
          <t>Teachers</t>
        </is>
      </c>
      <c r="C76" s="41" t="inlineStr">
        <is>
          <t>Delete</t>
        </is>
      </c>
      <c r="D76" s="41" t="inlineStr">
        <is>
          <t>Functional</t>
        </is>
      </c>
      <c r="E76" s="41" t="inlineStr">
        <is>
          <t>Medium</t>
        </is>
      </c>
      <c r="F76" s="41" t="inlineStr">
        <is>
          <t>Admin</t>
        </is>
      </c>
      <c r="G76" s="41" t="inlineStr">
        <is>
          <t>Teacher without assignments</t>
        </is>
      </c>
      <c r="H76" s="41" t="inlineStr">
        <is>
          <t>Delete the teacher</t>
        </is>
      </c>
      <c r="I76" s="41" t="inlineStr">
        <is>
          <t>Confirm, removed; login no longer works</t>
        </is>
      </c>
      <c r="J76" s="42" t="n"/>
      <c r="K76" s="42" t="inlineStr">
        <is>
          <t>Not Run</t>
        </is>
      </c>
      <c r="L76" s="42" t="n"/>
      <c r="M76" s="43" t="n"/>
      <c r="N76" s="42" t="n"/>
      <c r="O76" s="42" t="n"/>
    </row>
    <row r="77" ht="15" customHeight="1" s="24">
      <c r="A77" s="41" t="inlineStr">
        <is>
          <t>TCH-18</t>
        </is>
      </c>
      <c r="B77" s="41" t="inlineStr">
        <is>
          <t>Teachers</t>
        </is>
      </c>
      <c r="C77" s="41" t="inlineStr">
        <is>
          <t>Search</t>
        </is>
      </c>
      <c r="D77" s="41" t="inlineStr">
        <is>
          <t>Functional</t>
        </is>
      </c>
      <c r="E77" s="41" t="inlineStr">
        <is>
          <t>Low</t>
        </is>
      </c>
      <c r="F77" s="41" t="inlineStr">
        <is>
          <t>Admin</t>
        </is>
      </c>
      <c r="G77" s="41" t="n"/>
      <c r="H77" s="41" t="inlineStr">
        <is>
          <t>Search by name / username / e-mail</t>
        </is>
      </c>
      <c r="I77" s="41" t="inlineStr">
        <is>
          <t>List filters</t>
        </is>
      </c>
      <c r="J77" s="42" t="n"/>
      <c r="K77" s="42" t="inlineStr">
        <is>
          <t>Not Run</t>
        </is>
      </c>
      <c r="L77" s="42" t="n"/>
      <c r="M77" s="43" t="n"/>
      <c r="N77" s="42" t="n"/>
      <c r="O77" s="42" t="n"/>
    </row>
    <row r="78" ht="15" customHeight="1" s="24">
      <c r="A78" s="41" t="inlineStr">
        <is>
          <t>PAR-01</t>
        </is>
      </c>
      <c r="B78" s="41" t="inlineStr">
        <is>
          <t>Parents</t>
        </is>
      </c>
      <c r="C78" s="41" t="inlineStr">
        <is>
          <t>List</t>
        </is>
      </c>
      <c r="D78" s="41" t="inlineStr">
        <is>
          <t>Functional</t>
        </is>
      </c>
      <c r="E78" s="41" t="inlineStr">
        <is>
          <t>High</t>
        </is>
      </c>
      <c r="F78" s="41" t="inlineStr">
        <is>
          <t>Admin</t>
        </is>
      </c>
      <c r="G78" s="41" t="n"/>
      <c r="H78" s="41" t="inlineStr">
        <is>
          <t>Open Parents</t>
        </is>
      </c>
      <c r="I78" s="41" t="inlineStr">
        <is>
          <t>List, status tiles and Contact Method filter work</t>
        </is>
      </c>
      <c r="J78" s="42" t="n"/>
      <c r="K78" s="42" t="inlineStr">
        <is>
          <t>Not Run</t>
        </is>
      </c>
      <c r="L78" s="42" t="n"/>
      <c r="M78" s="43" t="n"/>
      <c r="N78" s="42" t="n"/>
      <c r="O78" s="42" t="n"/>
    </row>
    <row r="79" ht="15" customHeight="1" s="24">
      <c r="A79" s="41" t="inlineStr">
        <is>
          <t>PAR-02</t>
        </is>
      </c>
      <c r="B79" s="41" t="inlineStr">
        <is>
          <t>Parents</t>
        </is>
      </c>
      <c r="C79" s="41" t="inlineStr">
        <is>
          <t>Create</t>
        </is>
      </c>
      <c r="D79" s="41" t="inlineStr">
        <is>
          <t>Functional</t>
        </is>
      </c>
      <c r="E79" s="41" t="inlineStr">
        <is>
          <t>High</t>
        </is>
      </c>
      <c r="F79" s="41" t="inlineStr">
        <is>
          <t>Admin</t>
        </is>
      </c>
      <c r="G79" s="41" t="n"/>
      <c r="H79" s="41" t="inlineStr">
        <is>
          <t>Add a parent with only name + mobile</t>
        </is>
      </c>
      <c r="I79" s="41" t="inlineStr">
        <is>
          <t>Created</t>
        </is>
      </c>
      <c r="J79" s="42" t="n"/>
      <c r="K79" s="42" t="inlineStr">
        <is>
          <t>Not Run</t>
        </is>
      </c>
      <c r="L79" s="42" t="n"/>
      <c r="M79" s="43" t="n"/>
      <c r="N79" s="42" t="n"/>
      <c r="O79" s="42" t="n"/>
    </row>
    <row r="80" ht="15" customHeight="1" s="24">
      <c r="A80" s="41" t="inlineStr">
        <is>
          <t>PAR-03</t>
        </is>
      </c>
      <c r="B80" s="41" t="inlineStr">
        <is>
          <t>Parents</t>
        </is>
      </c>
      <c r="C80" s="41" t="inlineStr">
        <is>
          <t>Create</t>
        </is>
      </c>
      <c r="D80" s="41" t="inlineStr">
        <is>
          <t>Validation</t>
        </is>
      </c>
      <c r="E80" s="41" t="inlineStr">
        <is>
          <t>High</t>
        </is>
      </c>
      <c r="F80" s="41" t="inlineStr">
        <is>
          <t>Admin</t>
        </is>
      </c>
      <c r="G80" s="41" t="n"/>
      <c r="H80" s="41" t="inlineStr">
        <is>
          <t>Add without mobile; invalid e-mail</t>
        </is>
      </c>
      <c r="I80" s="41" t="inlineStr">
        <is>
          <t>Messages shown</t>
        </is>
      </c>
      <c r="J80" s="42" t="n"/>
      <c r="K80" s="42" t="inlineStr">
        <is>
          <t>Not Run</t>
        </is>
      </c>
      <c r="L80" s="42" t="n"/>
      <c r="M80" s="43" t="n"/>
      <c r="N80" s="42" t="n"/>
      <c r="O80" s="42" t="n"/>
    </row>
    <row r="81" ht="23.25" customHeight="1" s="24">
      <c r="A81" s="41" t="inlineStr">
        <is>
          <t>PAR-04</t>
        </is>
      </c>
      <c r="B81" s="41" t="inlineStr">
        <is>
          <t>Parents</t>
        </is>
      </c>
      <c r="C81" s="41" t="inlineStr">
        <is>
          <t>Create</t>
        </is>
      </c>
      <c r="D81" s="41" t="inlineStr">
        <is>
          <t>Functional</t>
        </is>
      </c>
      <c r="E81" s="41" t="inlineStr">
        <is>
          <t>Medium</t>
        </is>
      </c>
      <c r="F81" s="41" t="inlineStr">
        <is>
          <t>Admin</t>
        </is>
      </c>
      <c r="G81" s="41" t="n"/>
      <c r="H81" s="41" t="inlineStr">
        <is>
          <t>Fill all sections (contact preferences, notification checkboxes, address)</t>
        </is>
      </c>
      <c r="I81" s="41" t="inlineStr">
        <is>
          <t>Saved; Edit shows the same values</t>
        </is>
      </c>
      <c r="J81" s="42" t="n"/>
      <c r="K81" s="42" t="inlineStr">
        <is>
          <t>Not Run</t>
        </is>
      </c>
      <c r="L81" s="42" t="n"/>
      <c r="M81" s="43" t="n"/>
      <c r="N81" s="42" t="n"/>
      <c r="O81" s="42" t="inlineStr">
        <is>
          <t>Reworded Oct 15</t>
        </is>
      </c>
    </row>
    <row r="82" ht="15" customHeight="1" s="24">
      <c r="A82" s="41" t="inlineStr">
        <is>
          <t>PAR-05</t>
        </is>
      </c>
      <c r="B82" s="41" t="inlineStr">
        <is>
          <t>Parents</t>
        </is>
      </c>
      <c r="C82" s="41" t="inlineStr">
        <is>
          <t>Status</t>
        </is>
      </c>
      <c r="D82" s="41" t="inlineStr">
        <is>
          <t>Functional</t>
        </is>
      </c>
      <c r="E82" s="41" t="inlineStr">
        <is>
          <t>Medium</t>
        </is>
      </c>
      <c r="F82" s="41" t="inlineStr">
        <is>
          <t>Admin</t>
        </is>
      </c>
      <c r="G82" s="41" t="n"/>
      <c r="H82" s="41" t="inlineStr">
        <is>
          <t>Set status Inactive</t>
        </is>
      </c>
      <c r="I82" s="41" t="inlineStr">
        <is>
          <t>Counts update</t>
        </is>
      </c>
      <c r="J82" s="42" t="n"/>
      <c r="K82" s="42" t="inlineStr">
        <is>
          <t>Not Run</t>
        </is>
      </c>
      <c r="L82" s="42" t="n"/>
      <c r="M82" s="43" t="n"/>
      <c r="N82" s="42" t="n"/>
      <c r="O82" s="42" t="n"/>
    </row>
    <row r="83" ht="15" customHeight="1" s="24">
      <c r="A83" s="41" t="inlineStr">
        <is>
          <t>PAR-06</t>
        </is>
      </c>
      <c r="B83" s="41" t="inlineStr">
        <is>
          <t>Parents</t>
        </is>
      </c>
      <c r="C83" s="41" t="inlineStr">
        <is>
          <t>View</t>
        </is>
      </c>
      <c r="D83" s="41" t="inlineStr">
        <is>
          <t>UI</t>
        </is>
      </c>
      <c r="E83" s="41" t="inlineStr">
        <is>
          <t>Low</t>
        </is>
      </c>
      <c r="F83" s="41" t="inlineStr">
        <is>
          <t>Admin</t>
        </is>
      </c>
      <c r="G83" s="41" t="n"/>
      <c r="H83" s="41" t="inlineStr">
        <is>
          <t>Click View (eye)</t>
        </is>
      </c>
      <c r="I83" s="41" t="inlineStr">
        <is>
          <t>Details correct</t>
        </is>
      </c>
      <c r="J83" s="42" t="n"/>
      <c r="K83" s="42" t="inlineStr">
        <is>
          <t>Not Run</t>
        </is>
      </c>
      <c r="L83" s="42" t="n"/>
      <c r="M83" s="43" t="n"/>
      <c r="N83" s="42" t="n"/>
      <c r="O83" s="42" t="n"/>
    </row>
    <row r="84" ht="23.25" customHeight="1" s="24">
      <c r="A84" s="41" t="inlineStr">
        <is>
          <t>PAR-07</t>
        </is>
      </c>
      <c r="B84" s="41" t="inlineStr">
        <is>
          <t>Parents</t>
        </is>
      </c>
      <c r="C84" s="41" t="inlineStr">
        <is>
          <t>Linked children</t>
        </is>
      </c>
      <c r="D84" s="41" t="inlineStr">
        <is>
          <t>Functional</t>
        </is>
      </c>
      <c r="E84" s="41" t="inlineStr">
        <is>
          <t>High</t>
        </is>
      </c>
      <c r="F84" s="41" t="inlineStr">
        <is>
          <t>Admin</t>
        </is>
      </c>
      <c r="G84" s="41" t="inlineStr">
        <is>
          <t>Parent with a linked student</t>
        </is>
      </c>
      <c r="H84" s="41" t="inlineStr">
        <is>
          <t>Click Linked Children</t>
        </is>
      </c>
      <c r="I84" s="41" t="inlineStr">
        <is>
          <t>Lists linked students with relation and primary star; empty state when none</t>
        </is>
      </c>
      <c r="J84" s="42" t="n"/>
      <c r="K84" s="42" t="inlineStr">
        <is>
          <t>Not Run</t>
        </is>
      </c>
      <c r="L84" s="42" t="n"/>
      <c r="M84" s="43" t="n"/>
      <c r="N84" s="42" t="n"/>
      <c r="O84" s="42" t="n"/>
    </row>
    <row r="85" ht="15" customHeight="1" s="24">
      <c r="A85" s="41" t="inlineStr">
        <is>
          <t>PAR-08</t>
        </is>
      </c>
      <c r="B85" s="41" t="inlineStr">
        <is>
          <t>Parents</t>
        </is>
      </c>
      <c r="C85" s="41" t="inlineStr">
        <is>
          <t>Linked children</t>
        </is>
      </c>
      <c r="D85" s="41" t="inlineStr">
        <is>
          <t>Functional</t>
        </is>
      </c>
      <c r="E85" s="41" t="inlineStr">
        <is>
          <t>High</t>
        </is>
      </c>
      <c r="F85" s="41" t="inlineStr">
        <is>
          <t>Admin</t>
        </is>
      </c>
      <c r="G85" s="41" t="n"/>
      <c r="H85" s="41" t="inlineStr">
        <is>
          <t>Link a student from the parent side (search student, relation, primary)</t>
        </is>
      </c>
      <c r="I85" s="41" t="inlineStr">
        <is>
          <t>Appears in the list</t>
        </is>
      </c>
      <c r="J85" s="42" t="n"/>
      <c r="K85" s="42" t="inlineStr">
        <is>
          <t>Not Run</t>
        </is>
      </c>
      <c r="L85" s="42" t="n"/>
      <c r="M85" s="43" t="n"/>
      <c r="N85" s="42" t="n"/>
      <c r="O85" s="42" t="n"/>
    </row>
    <row r="86" ht="15" customHeight="1" s="24">
      <c r="A86" s="41" t="inlineStr">
        <is>
          <t>PAR-09</t>
        </is>
      </c>
      <c r="B86" s="41" t="inlineStr">
        <is>
          <t>Parents</t>
        </is>
      </c>
      <c r="C86" s="41" t="inlineStr">
        <is>
          <t>Linked children</t>
        </is>
      </c>
      <c r="D86" s="41" t="inlineStr">
        <is>
          <t>Negative</t>
        </is>
      </c>
      <c r="E86" s="41" t="inlineStr">
        <is>
          <t>High</t>
        </is>
      </c>
      <c r="F86" s="41" t="inlineStr">
        <is>
          <t>Admin</t>
        </is>
      </c>
      <c r="G86" s="41" t="n"/>
      <c r="H86" s="41" t="inlineStr">
        <is>
          <t>Link the same student again</t>
        </is>
      </c>
      <c r="I86" s="41" t="inlineStr">
        <is>
          <t>Error 'already linked'</t>
        </is>
      </c>
      <c r="J86" s="42" t="n"/>
      <c r="K86" s="42" t="inlineStr">
        <is>
          <t>Not Run</t>
        </is>
      </c>
      <c r="L86" s="42" t="n"/>
      <c r="M86" s="43" t="n"/>
      <c r="N86" s="42" t="n"/>
      <c r="O86" s="42" t="n"/>
    </row>
    <row r="87" ht="15" customHeight="1" s="24">
      <c r="A87" s="41" t="inlineStr">
        <is>
          <t>PAR-10</t>
        </is>
      </c>
      <c r="B87" s="41" t="inlineStr">
        <is>
          <t>Parents</t>
        </is>
      </c>
      <c r="C87" s="41" t="inlineStr">
        <is>
          <t>Linked children</t>
        </is>
      </c>
      <c r="D87" s="41" t="inlineStr">
        <is>
          <t>Functional</t>
        </is>
      </c>
      <c r="E87" s="41" t="inlineStr">
        <is>
          <t>Medium</t>
        </is>
      </c>
      <c r="F87" s="41" t="inlineStr">
        <is>
          <t>Admin</t>
        </is>
      </c>
      <c r="G87" s="41" t="inlineStr">
        <is>
          <t>Two parents on one student</t>
        </is>
      </c>
      <c r="H87" s="41" t="inlineStr">
        <is>
          <t>Make the second parent primary</t>
        </is>
      </c>
      <c r="I87" s="41" t="inlineStr">
        <is>
          <t>Star moves; only one primary</t>
        </is>
      </c>
      <c r="J87" s="42" t="n"/>
      <c r="K87" s="42" t="inlineStr">
        <is>
          <t>Not Run</t>
        </is>
      </c>
      <c r="L87" s="42" t="n"/>
      <c r="M87" s="43" t="n"/>
      <c r="N87" s="42" t="n"/>
      <c r="O87" s="42" t="n"/>
    </row>
    <row r="88" ht="15" customHeight="1" s="24">
      <c r="A88" s="41" t="inlineStr">
        <is>
          <t>PAR-11</t>
        </is>
      </c>
      <c r="B88" s="41" t="inlineStr">
        <is>
          <t>Parents</t>
        </is>
      </c>
      <c r="C88" s="41" t="inlineStr">
        <is>
          <t>Linked children</t>
        </is>
      </c>
      <c r="D88" s="41" t="inlineStr">
        <is>
          <t>Functional</t>
        </is>
      </c>
      <c r="E88" s="41" t="inlineStr">
        <is>
          <t>Medium</t>
        </is>
      </c>
      <c r="F88" s="41" t="inlineStr">
        <is>
          <t>Admin</t>
        </is>
      </c>
      <c r="G88" s="41" t="n"/>
      <c r="H88" s="41" t="inlineStr">
        <is>
          <t>Unlink a student</t>
        </is>
      </c>
      <c r="I88" s="41" t="inlineStr">
        <is>
          <t>Confirm, then removed</t>
        </is>
      </c>
      <c r="J88" s="42" t="n"/>
      <c r="K88" s="42" t="inlineStr">
        <is>
          <t>Not Run</t>
        </is>
      </c>
      <c r="L88" s="42" t="n"/>
      <c r="M88" s="43" t="n"/>
      <c r="N88" s="42" t="n"/>
      <c r="O88" s="42" t="n"/>
    </row>
    <row r="89" ht="15" customHeight="1" s="24">
      <c r="A89" s="41" t="inlineStr">
        <is>
          <t>PAR-12</t>
        </is>
      </c>
      <c r="B89" s="41" t="inlineStr">
        <is>
          <t>Parents</t>
        </is>
      </c>
      <c r="C89" s="41" t="inlineStr">
        <is>
          <t>Fees</t>
        </is>
      </c>
      <c r="D89" s="41" t="inlineStr">
        <is>
          <t>UI</t>
        </is>
      </c>
      <c r="E89" s="41" t="inlineStr">
        <is>
          <t>Low</t>
        </is>
      </c>
      <c r="F89" s="41" t="inlineStr">
        <is>
          <t>Admin</t>
        </is>
      </c>
      <c r="G89" s="41" t="n"/>
      <c r="H89" s="41" t="inlineStr">
        <is>
          <t>Click Fee Records</t>
        </is>
      </c>
      <c r="I89" s="41" t="inlineStr">
        <is>
          <t>'Not yet available' style message (module not built)</t>
        </is>
      </c>
      <c r="J89" s="42" t="n"/>
      <c r="K89" s="42" t="inlineStr">
        <is>
          <t>Not Run</t>
        </is>
      </c>
      <c r="L89" s="42" t="n"/>
      <c r="M89" s="43" t="n"/>
      <c r="N89" s="42" t="n"/>
      <c r="O89" s="42" t="n"/>
    </row>
    <row r="90" ht="15" customHeight="1" s="24">
      <c r="A90" s="41" t="inlineStr">
        <is>
          <t>PAR-13</t>
        </is>
      </c>
      <c r="B90" s="41" t="inlineStr">
        <is>
          <t>Parents</t>
        </is>
      </c>
      <c r="C90" s="41" t="inlineStr">
        <is>
          <t>Delete</t>
        </is>
      </c>
      <c r="D90" s="41" t="inlineStr">
        <is>
          <t>Functional</t>
        </is>
      </c>
      <c r="E90" s="41" t="inlineStr">
        <is>
          <t>High</t>
        </is>
      </c>
      <c r="F90" s="41" t="inlineStr">
        <is>
          <t>Admin</t>
        </is>
      </c>
      <c r="G90" s="41" t="inlineStr">
        <is>
          <t>Parent with NO linked children</t>
        </is>
      </c>
      <c r="H90" s="41" t="inlineStr">
        <is>
          <t>Delete the parent</t>
        </is>
      </c>
      <c r="I90" s="41" t="inlineStr">
        <is>
          <t>Confirm, removed (a parent with children is refused: see PAR-17)</t>
        </is>
      </c>
      <c r="J90" s="42" t="n"/>
      <c r="K90" s="42" t="inlineStr">
        <is>
          <t>Not Run</t>
        </is>
      </c>
      <c r="L90" s="42" t="n"/>
      <c r="M90" s="43" t="n"/>
      <c r="N90" s="42" t="n"/>
      <c r="O90" s="42" t="inlineStr">
        <is>
          <t>Reworded Oct 15</t>
        </is>
      </c>
    </row>
    <row r="91" ht="15" customHeight="1" s="24">
      <c r="A91" s="41" t="inlineStr">
        <is>
          <t>PAR-14</t>
        </is>
      </c>
      <c r="B91" s="41" t="inlineStr">
        <is>
          <t>Parents</t>
        </is>
      </c>
      <c r="C91" s="41" t="inlineStr">
        <is>
          <t>Validation</t>
        </is>
      </c>
      <c r="D91" s="41" t="inlineStr">
        <is>
          <t>Exploratory</t>
        </is>
      </c>
      <c r="E91" s="41" t="inlineStr">
        <is>
          <t>Low</t>
        </is>
      </c>
      <c r="F91" s="41" t="inlineStr">
        <is>
          <t>Admin</t>
        </is>
      </c>
      <c r="G91" s="41" t="inlineStr">
        <is>
          <t>Another parent has e-mail X</t>
        </is>
      </c>
      <c r="H91" s="41" t="inlineStr">
        <is>
          <t>Create a parent with the same e-mail X</t>
        </is>
      </c>
      <c r="I91" s="41" t="inlineStr">
        <is>
          <t>KNOWN GAP: currently accepted. Record the result</t>
        </is>
      </c>
      <c r="J91" s="42" t="n"/>
      <c r="K91" s="42" t="inlineStr">
        <is>
          <t>Not Run</t>
        </is>
      </c>
      <c r="L91" s="42" t="n"/>
      <c r="M91" s="43" t="n"/>
      <c r="N91" s="42" t="n"/>
      <c r="O91" s="42" t="n"/>
    </row>
    <row r="92" ht="15" customHeight="1" s="24">
      <c r="A92" s="41" t="inlineStr">
        <is>
          <t>PAR-15</t>
        </is>
      </c>
      <c r="B92" s="41" t="inlineStr">
        <is>
          <t>Parents</t>
        </is>
      </c>
      <c r="C92" s="41" t="inlineStr">
        <is>
          <t>Filters</t>
        </is>
      </c>
      <c r="D92" s="41" t="inlineStr">
        <is>
          <t>Functional</t>
        </is>
      </c>
      <c r="E92" s="41" t="inlineStr">
        <is>
          <t>Low</t>
        </is>
      </c>
      <c r="F92" s="41" t="inlineStr">
        <is>
          <t>Admin</t>
        </is>
      </c>
      <c r="G92" s="41" t="n"/>
      <c r="H92" s="41" t="inlineStr">
        <is>
          <t>Filters and search</t>
        </is>
      </c>
      <c r="I92" s="41" t="inlineStr">
        <is>
          <t>Work</t>
        </is>
      </c>
      <c r="J92" s="42" t="n"/>
      <c r="K92" s="42" t="inlineStr">
        <is>
          <t>Not Run</t>
        </is>
      </c>
      <c r="L92" s="42" t="n"/>
      <c r="M92" s="43" t="n"/>
      <c r="N92" s="42" t="n"/>
      <c r="O92" s="42" t="n"/>
    </row>
    <row r="93" ht="23.25" customHeight="1" s="24">
      <c r="A93" s="41" t="inlineStr">
        <is>
          <t>PAR-16</t>
        </is>
      </c>
      <c r="B93" s="41" t="inlineStr">
        <is>
          <t>Parents</t>
        </is>
      </c>
      <c r="C93" s="41" t="inlineStr">
        <is>
          <t>Scoped access</t>
        </is>
      </c>
      <c r="D93" s="41" t="inlineStr">
        <is>
          <t>Security</t>
        </is>
      </c>
      <c r="E93" s="41" t="inlineStr">
        <is>
          <t>High</t>
        </is>
      </c>
      <c r="F93" s="41" t="inlineStr">
        <is>
          <t>Teacher</t>
        </is>
      </c>
      <c r="G93" s="41" t="inlineStr">
        <is>
          <t>Teacher is class teacher of ZT Class A</t>
        </is>
      </c>
      <c r="H93" s="41" t="inlineStr">
        <is>
          <t>Open Parents as the teacher</t>
        </is>
      </c>
      <c r="I93" s="41" t="inlineStr">
        <is>
          <t>Only parents of students in the teacher's own classes appear; no other family's data</t>
        </is>
      </c>
      <c r="J93" s="42" t="n"/>
      <c r="K93" s="42" t="inlineStr">
        <is>
          <t>Not Run</t>
        </is>
      </c>
      <c r="L93" s="42" t="n"/>
      <c r="M93" s="43" t="n"/>
      <c r="N93" s="42" t="n"/>
      <c r="O93" s="42" t="n"/>
    </row>
    <row r="94" ht="15" customHeight="1" s="24">
      <c r="A94" s="41" t="inlineStr">
        <is>
          <t>ADM-01</t>
        </is>
      </c>
      <c r="B94" s="41" t="inlineStr">
        <is>
          <t>Admissions</t>
        </is>
      </c>
      <c r="C94" s="41" t="inlineStr">
        <is>
          <t>List / pipeline</t>
        </is>
      </c>
      <c r="D94" s="41" t="inlineStr">
        <is>
          <t>Functional</t>
        </is>
      </c>
      <c r="E94" s="41" t="inlineStr">
        <is>
          <t>High</t>
        </is>
      </c>
      <c r="F94" s="41" t="inlineStr">
        <is>
          <t>Admin</t>
        </is>
      </c>
      <c r="G94" s="41" t="n"/>
      <c r="H94" s="41" t="inlineStr">
        <is>
          <t>Open Admissions</t>
        </is>
      </c>
      <c r="I94" s="41" t="inlineStr">
        <is>
          <t>Tabs All, Registered, Admitted, Enrolled, Rejected, each with a count</t>
        </is>
      </c>
      <c r="J94" s="42" t="n"/>
      <c r="K94" s="42" t="inlineStr">
        <is>
          <t>Not Run</t>
        </is>
      </c>
      <c r="L94" s="42" t="n"/>
      <c r="M94" s="43" t="n"/>
      <c r="N94" s="42" t="n"/>
      <c r="O94" s="42" t="n"/>
    </row>
    <row r="95" ht="15" customHeight="1" s="24">
      <c r="A95" s="41" t="inlineStr">
        <is>
          <t>ADM-02</t>
        </is>
      </c>
      <c r="B95" s="41" t="inlineStr">
        <is>
          <t>Admissions</t>
        </is>
      </c>
      <c r="C95" s="41" t="inlineStr">
        <is>
          <t>List / pipeline</t>
        </is>
      </c>
      <c r="D95" s="41" t="inlineStr">
        <is>
          <t>Functional</t>
        </is>
      </c>
      <c r="E95" s="41" t="inlineStr">
        <is>
          <t>High</t>
        </is>
      </c>
      <c r="F95" s="41" t="inlineStr">
        <is>
          <t>Admin</t>
        </is>
      </c>
      <c r="G95" s="41" t="n"/>
      <c r="H95" s="41" t="inlineStr">
        <is>
          <t>Click each tab</t>
        </is>
      </c>
      <c r="I95" s="41" t="inlineStr">
        <is>
          <t>Rows filter; counts match</t>
        </is>
      </c>
      <c r="J95" s="42" t="n"/>
      <c r="K95" s="42" t="inlineStr">
        <is>
          <t>Not Run</t>
        </is>
      </c>
      <c r="L95" s="42" t="n"/>
      <c r="M95" s="43" t="n"/>
      <c r="N95" s="42" t="n"/>
      <c r="O95" s="42" t="n"/>
    </row>
    <row r="96" ht="23.25" customHeight="1" s="24">
      <c r="A96" s="41" t="inlineStr">
        <is>
          <t>ADM-03</t>
        </is>
      </c>
      <c r="B96" s="41" t="inlineStr">
        <is>
          <t>Admissions</t>
        </is>
      </c>
      <c r="C96" s="41" t="inlineStr">
        <is>
          <t>List / pipeline</t>
        </is>
      </c>
      <c r="D96" s="41" t="inlineStr">
        <is>
          <t>Functional</t>
        </is>
      </c>
      <c r="E96" s="41" t="inlineStr">
        <is>
          <t>Medium</t>
        </is>
      </c>
      <c r="F96" s="41" t="inlineStr">
        <is>
          <t>Admin</t>
        </is>
      </c>
      <c r="G96" s="41" t="n"/>
      <c r="H96" s="41" t="inlineStr">
        <is>
          <t>Use filters: Academic Year, Admission Type, Applied-for Class, date from/to, search</t>
        </is>
      </c>
      <c r="I96" s="41" t="inlineStr">
        <is>
          <t>Work and combine</t>
        </is>
      </c>
      <c r="J96" s="42" t="n"/>
      <c r="K96" s="42" t="inlineStr">
        <is>
          <t>Not Run</t>
        </is>
      </c>
      <c r="L96" s="42" t="n"/>
      <c r="M96" s="43" t="n"/>
      <c r="N96" s="42" t="n"/>
      <c r="O96" s="42" t="n"/>
    </row>
    <row r="97" ht="34.5" customHeight="1" s="24">
      <c r="A97" s="41" t="inlineStr">
        <is>
          <t>ADM-04</t>
        </is>
      </c>
      <c r="B97" s="41" t="inlineStr">
        <is>
          <t>Admissions</t>
        </is>
      </c>
      <c r="C97" s="41" t="inlineStr">
        <is>
          <t>List / pipeline</t>
        </is>
      </c>
      <c r="D97" s="41" t="inlineStr">
        <is>
          <t>Functional</t>
        </is>
      </c>
      <c r="E97" s="41" t="inlineStr">
        <is>
          <t>High</t>
        </is>
      </c>
      <c r="F97" s="41" t="inlineStr">
        <is>
          <t>Admin</t>
        </is>
      </c>
      <c r="G97" s="41" t="inlineStr">
        <is>
          <t>One application per status</t>
        </is>
      </c>
      <c r="H97" s="41" t="inlineStr">
        <is>
          <t>Check the row actions in each status</t>
        </is>
      </c>
      <c r="I97" s="41" t="inlineStr">
        <is>
          <t>Registered: view, edit, confirm, reject, delete. Admitted: view, edit, enrol, reject, delete. Enrolled: view, edit, link to student, delete (no confirm/enrol/reject). Rejected: view reason, delete</t>
        </is>
      </c>
      <c r="J97" s="42" t="n"/>
      <c r="K97" s="42" t="inlineStr">
        <is>
          <t>Not Run</t>
        </is>
      </c>
      <c r="L97" s="42" t="n"/>
      <c r="M97" s="43" t="n"/>
      <c r="N97" s="42" t="n"/>
      <c r="O97" s="42" t="n"/>
    </row>
    <row r="98" ht="15" customHeight="1" s="24">
      <c r="A98" s="41" t="inlineStr">
        <is>
          <t>ADM-05</t>
        </is>
      </c>
      <c r="B98" s="41" t="inlineStr">
        <is>
          <t>Admissions</t>
        </is>
      </c>
      <c r="C98" s="41" t="inlineStr">
        <is>
          <t>List / pipeline</t>
        </is>
      </c>
      <c r="D98" s="41" t="inlineStr">
        <is>
          <t>Functional</t>
        </is>
      </c>
      <c r="E98" s="41" t="inlineStr">
        <is>
          <t>Low</t>
        </is>
      </c>
      <c r="F98" s="41" t="inlineStr">
        <is>
          <t>Admin</t>
        </is>
      </c>
      <c r="G98" s="41" t="n"/>
      <c r="H98" s="41" t="inlineStr">
        <is>
          <t>Export CSV</t>
        </is>
      </c>
      <c r="I98" s="41" t="inlineStr">
        <is>
          <t>Matches the filtered rows</t>
        </is>
      </c>
      <c r="J98" s="42" t="n"/>
      <c r="K98" s="42" t="inlineStr">
        <is>
          <t>Not Run</t>
        </is>
      </c>
      <c r="L98" s="42" t="n"/>
      <c r="M98" s="43" t="n"/>
      <c r="N98" s="42" t="n"/>
      <c r="O98" s="42" t="n"/>
    </row>
    <row r="99" ht="15" customHeight="1" s="24">
      <c r="A99" s="41" t="inlineStr">
        <is>
          <t>ADM-10</t>
        </is>
      </c>
      <c r="B99" s="41" t="inlineStr">
        <is>
          <t>Admissions</t>
        </is>
      </c>
      <c r="C99" s="41" t="inlineStr">
        <is>
          <t>Register</t>
        </is>
      </c>
      <c r="D99" s="41" t="inlineStr">
        <is>
          <t>Validation</t>
        </is>
      </c>
      <c r="E99" s="41" t="inlineStr">
        <is>
          <t>High</t>
        </is>
      </c>
      <c r="F99" s="41" t="inlineStr">
        <is>
          <t>Admin</t>
        </is>
      </c>
      <c r="G99" s="41" t="n"/>
      <c r="H99" s="41" t="inlineStr">
        <is>
          <t>Click New Registration, Save empty</t>
        </is>
      </c>
      <c r="I99" s="41" t="inlineStr">
        <is>
          <t>Required-field messages</t>
        </is>
      </c>
      <c r="J99" s="42" t="n"/>
      <c r="K99" s="42" t="inlineStr">
        <is>
          <t>Not Run</t>
        </is>
      </c>
      <c r="L99" s="42" t="n"/>
      <c r="M99" s="43" t="n"/>
      <c r="N99" s="42" t="n"/>
      <c r="O99" s="42" t="n"/>
    </row>
    <row r="100" ht="15" customHeight="1" s="24">
      <c r="A100" s="41" t="inlineStr">
        <is>
          <t>ADM-11</t>
        </is>
      </c>
      <c r="B100" s="41" t="inlineStr">
        <is>
          <t>Admissions</t>
        </is>
      </c>
      <c r="C100" s="41" t="inlineStr">
        <is>
          <t>Register</t>
        </is>
      </c>
      <c r="D100" s="41" t="inlineStr">
        <is>
          <t>Functional</t>
        </is>
      </c>
      <c r="E100" s="41" t="inlineStr">
        <is>
          <t>High</t>
        </is>
      </c>
      <c r="F100" s="41" t="inlineStr">
        <is>
          <t>Admin</t>
        </is>
      </c>
      <c r="G100" s="41" t="n"/>
      <c r="H100" s="41" t="inlineStr">
        <is>
          <t>Fill applicant, class (only Active classes listed), type, phone; Save</t>
        </is>
      </c>
      <c r="I100" s="41" t="inlineStr">
        <is>
          <t>Saved; row under Registered with a REG-... number</t>
        </is>
      </c>
      <c r="J100" s="42" t="n"/>
      <c r="K100" s="42" t="inlineStr">
        <is>
          <t>Not Run</t>
        </is>
      </c>
      <c r="L100" s="42" t="n"/>
      <c r="M100" s="43" t="n"/>
      <c r="N100" s="42" t="n"/>
      <c r="O100" s="42" t="n"/>
    </row>
    <row r="101" ht="15" customHeight="1" s="24">
      <c r="A101" s="41" t="inlineStr">
        <is>
          <t>ADM-12</t>
        </is>
      </c>
      <c r="B101" s="41" t="inlineStr">
        <is>
          <t>Admissions</t>
        </is>
      </c>
      <c r="C101" s="41" t="inlineStr">
        <is>
          <t>Register</t>
        </is>
      </c>
      <c r="D101" s="41" t="inlineStr">
        <is>
          <t>Functional</t>
        </is>
      </c>
      <c r="E101" s="41" t="inlineStr">
        <is>
          <t>High</t>
        </is>
      </c>
      <c r="F101" s="41" t="inlineStr">
        <is>
          <t>Admin</t>
        </is>
      </c>
      <c r="G101" s="41" t="n"/>
      <c r="H101" s="41" t="inlineStr">
        <is>
          <t>Add a Father and a Mother row (Add guardian)</t>
        </is>
      </c>
      <c r="I101" s="41" t="inlineStr">
        <is>
          <t>Rows with relation / name / mobile / e-mail / primary radio</t>
        </is>
      </c>
      <c r="J101" s="42" t="n"/>
      <c r="K101" s="42" t="inlineStr">
        <is>
          <t>Not Run</t>
        </is>
      </c>
      <c r="L101" s="42" t="n"/>
      <c r="M101" s="43" t="n"/>
      <c r="N101" s="42" t="n"/>
      <c r="O101" s="42" t="n"/>
    </row>
    <row r="102" ht="15" customHeight="1" s="24">
      <c r="A102" s="41" t="inlineStr">
        <is>
          <t>ADM-13</t>
        </is>
      </c>
      <c r="B102" s="41" t="inlineStr">
        <is>
          <t>Admissions</t>
        </is>
      </c>
      <c r="C102" s="41" t="inlineStr">
        <is>
          <t>Register</t>
        </is>
      </c>
      <c r="D102" s="41" t="inlineStr">
        <is>
          <t>Validation</t>
        </is>
      </c>
      <c r="E102" s="41" t="inlineStr">
        <is>
          <t>Medium</t>
        </is>
      </c>
      <c r="F102" s="41" t="inlineStr">
        <is>
          <t>Admin</t>
        </is>
      </c>
      <c r="G102" s="41" t="n"/>
      <c r="H102" s="41" t="inlineStr">
        <is>
          <t>Try to add a 6th guardian</t>
        </is>
      </c>
      <c r="I102" s="41" t="inlineStr">
        <is>
          <t>Add guardian disabled at 5</t>
        </is>
      </c>
      <c r="J102" s="42" t="n"/>
      <c r="K102" s="42" t="inlineStr">
        <is>
          <t>Not Run</t>
        </is>
      </c>
      <c r="L102" s="42" t="n"/>
      <c r="M102" s="43" t="n"/>
      <c r="N102" s="42" t="n"/>
      <c r="O102" s="42" t="n"/>
    </row>
    <row r="103" ht="15" customHeight="1" s="24">
      <c r="A103" s="41" t="inlineStr">
        <is>
          <t>ADM-14</t>
        </is>
      </c>
      <c r="B103" s="41" t="inlineStr">
        <is>
          <t>Admissions</t>
        </is>
      </c>
      <c r="C103" s="41" t="inlineStr">
        <is>
          <t>Register</t>
        </is>
      </c>
      <c r="D103" s="41" t="inlineStr">
        <is>
          <t>Validation</t>
        </is>
      </c>
      <c r="E103" s="41" t="inlineStr">
        <is>
          <t>High</t>
        </is>
      </c>
      <c r="F103" s="41" t="inlineStr">
        <is>
          <t>Admin</t>
        </is>
      </c>
      <c r="G103" s="41" t="n"/>
      <c r="H103" s="41" t="inlineStr">
        <is>
          <t>Add two fathers, Save</t>
        </is>
      </c>
      <c r="I103" s="41" t="inlineStr">
        <is>
          <t>Message 'only one father and one mother'</t>
        </is>
      </c>
      <c r="J103" s="42" t="n"/>
      <c r="K103" s="42" t="inlineStr">
        <is>
          <t>Not Run</t>
        </is>
      </c>
      <c r="L103" s="42" t="n"/>
      <c r="M103" s="43" t="n"/>
      <c r="N103" s="42" t="n"/>
      <c r="O103" s="42" t="n"/>
    </row>
    <row r="104" ht="15" customHeight="1" s="24">
      <c r="A104" s="41" t="inlineStr">
        <is>
          <t>ADM-15</t>
        </is>
      </c>
      <c r="B104" s="41" t="inlineStr">
        <is>
          <t>Admissions</t>
        </is>
      </c>
      <c r="C104" s="41" t="inlineStr">
        <is>
          <t>Register</t>
        </is>
      </c>
      <c r="D104" s="41" t="inlineStr">
        <is>
          <t>Functional</t>
        </is>
      </c>
      <c r="E104" s="41" t="inlineStr">
        <is>
          <t>Medium</t>
        </is>
      </c>
      <c r="F104" s="41" t="inlineStr">
        <is>
          <t>Admin</t>
        </is>
      </c>
      <c r="G104" s="41" t="n"/>
      <c r="H104" s="41" t="inlineStr">
        <is>
          <t>Choose Mother as primary</t>
        </is>
      </c>
      <c r="I104" s="41" t="inlineStr">
        <is>
          <t>Only one primary at a time</t>
        </is>
      </c>
      <c r="J104" s="42" t="n"/>
      <c r="K104" s="42" t="inlineStr">
        <is>
          <t>Not Run</t>
        </is>
      </c>
      <c r="L104" s="42" t="n"/>
      <c r="M104" s="43" t="n"/>
      <c r="N104" s="42" t="n"/>
      <c r="O104" s="42" t="n"/>
    </row>
    <row r="105" ht="15" customHeight="1" s="24">
      <c r="A105" s="41" t="inlineStr">
        <is>
          <t>ADM-16</t>
        </is>
      </c>
      <c r="B105" s="41" t="inlineStr">
        <is>
          <t>Admissions</t>
        </is>
      </c>
      <c r="C105" s="41" t="inlineStr">
        <is>
          <t>Register</t>
        </is>
      </c>
      <c r="D105" s="41" t="inlineStr">
        <is>
          <t>Functional</t>
        </is>
      </c>
      <c r="E105" s="41" t="inlineStr">
        <is>
          <t>Low</t>
        </is>
      </c>
      <c r="F105" s="41" t="inlineStr">
        <is>
          <t>Admin</t>
        </is>
      </c>
      <c r="G105" s="41" t="n"/>
      <c r="H105" s="41" t="inlineStr">
        <is>
          <t>Remove a guardian row</t>
        </is>
      </c>
      <c r="I105" s="41" t="inlineStr">
        <is>
          <t>Row disappears</t>
        </is>
      </c>
      <c r="J105" s="42" t="n"/>
      <c r="K105" s="42" t="inlineStr">
        <is>
          <t>Not Run</t>
        </is>
      </c>
      <c r="L105" s="42" t="n"/>
      <c r="M105" s="43" t="n"/>
      <c r="N105" s="42" t="n"/>
      <c r="O105" s="42" t="n"/>
    </row>
    <row r="106" ht="15" customHeight="1" s="24">
      <c r="A106" s="41" t="inlineStr">
        <is>
          <t>ADM-17</t>
        </is>
      </c>
      <c r="B106" s="41" t="inlineStr">
        <is>
          <t>Admissions</t>
        </is>
      </c>
      <c r="C106" s="41" t="inlineStr">
        <is>
          <t>Register</t>
        </is>
      </c>
      <c r="D106" s="41" t="inlineStr">
        <is>
          <t>Validation</t>
        </is>
      </c>
      <c r="E106" s="41" t="inlineStr">
        <is>
          <t>Medium</t>
        </is>
      </c>
      <c r="F106" s="41" t="inlineStr">
        <is>
          <t>Admin</t>
        </is>
      </c>
      <c r="G106" s="41" t="n"/>
      <c r="H106" s="41" t="inlineStr">
        <is>
          <t>Enter a date of birth in the future</t>
        </is>
      </c>
      <c r="I106" s="41" t="inlineStr">
        <is>
          <t>Error</t>
        </is>
      </c>
      <c r="J106" s="42" t="n"/>
      <c r="K106" s="42" t="inlineStr">
        <is>
          <t>Not Run</t>
        </is>
      </c>
      <c r="L106" s="42" t="n"/>
      <c r="M106" s="43" t="n"/>
      <c r="N106" s="42" t="n"/>
      <c r="O106" s="42" t="n"/>
    </row>
    <row r="107" ht="15" customHeight="1" s="24">
      <c r="A107" s="41" t="inlineStr">
        <is>
          <t>ADM-18</t>
        </is>
      </c>
      <c r="B107" s="41" t="inlineStr">
        <is>
          <t>Admissions</t>
        </is>
      </c>
      <c r="C107" s="41" t="inlineStr">
        <is>
          <t>Register</t>
        </is>
      </c>
      <c r="D107" s="41" t="inlineStr">
        <is>
          <t>Functional</t>
        </is>
      </c>
      <c r="E107" s="41" t="inlineStr">
        <is>
          <t>Medium</t>
        </is>
      </c>
      <c r="F107" s="41" t="inlineStr">
        <is>
          <t>Admin</t>
        </is>
      </c>
      <c r="G107" s="41" t="n"/>
      <c r="H107" s="41" t="inlineStr">
        <is>
          <t>Register with no guardians</t>
        </is>
      </c>
      <c r="I107" s="41" t="inlineStr">
        <is>
          <t>Allowed</t>
        </is>
      </c>
      <c r="J107" s="42" t="n"/>
      <c r="K107" s="42" t="inlineStr">
        <is>
          <t>Not Run</t>
        </is>
      </c>
      <c r="L107" s="42" t="n"/>
      <c r="M107" s="43" t="n"/>
      <c r="N107" s="42" t="n"/>
      <c r="O107" s="42" t="n"/>
    </row>
    <row r="108" ht="23.25" customHeight="1" s="24">
      <c r="A108" s="41" t="inlineStr">
        <is>
          <t>ADM-19</t>
        </is>
      </c>
      <c r="B108" s="41" t="inlineStr">
        <is>
          <t>Admissions</t>
        </is>
      </c>
      <c r="C108" s="41" t="inlineStr">
        <is>
          <t>Register</t>
        </is>
      </c>
      <c r="D108" s="41" t="inlineStr">
        <is>
          <t>Functional</t>
        </is>
      </c>
      <c r="E108" s="41" t="inlineStr">
        <is>
          <t>Medium</t>
        </is>
      </c>
      <c r="F108" s="41" t="inlineStr">
        <is>
          <t>Admin</t>
        </is>
      </c>
      <c r="G108" s="41" t="n"/>
      <c r="H108" s="41" t="inlineStr">
        <is>
          <t>In Documents choose the Document type FIRST, then add a file; Save</t>
        </is>
      </c>
      <c r="I108" s="41" t="inlineStr">
        <is>
          <t>The file picker stays disabled until a type is chosen; each file gets that type (changeable per file); application saved together with the document(s)</t>
        </is>
      </c>
      <c r="J108" s="42" t="n"/>
      <c r="K108" s="42" t="inlineStr">
        <is>
          <t>Not Run</t>
        </is>
      </c>
      <c r="L108" s="42" t="n"/>
      <c r="M108" s="43" t="n"/>
      <c r="N108" s="42" t="n"/>
      <c r="O108" s="42" t="inlineStr">
        <is>
          <t>Reworded Oct 16</t>
        </is>
      </c>
    </row>
    <row r="109" ht="15" customHeight="1" s="24">
      <c r="A109" s="41" t="inlineStr">
        <is>
          <t>ADM-20</t>
        </is>
      </c>
      <c r="B109" s="41" t="inlineStr">
        <is>
          <t>Admissions</t>
        </is>
      </c>
      <c r="C109" s="41" t="inlineStr">
        <is>
          <t>Edit</t>
        </is>
      </c>
      <c r="D109" s="41" t="inlineStr">
        <is>
          <t>Functional</t>
        </is>
      </c>
      <c r="E109" s="41" t="inlineStr">
        <is>
          <t>High</t>
        </is>
      </c>
      <c r="F109" s="41" t="inlineStr">
        <is>
          <t>Admin</t>
        </is>
      </c>
      <c r="G109" s="41" t="inlineStr">
        <is>
          <t>Registered application</t>
        </is>
      </c>
      <c r="H109" s="41" t="inlineStr">
        <is>
          <t>Edit phone and replace guardians; Save; reopen</t>
        </is>
      </c>
      <c r="I109" s="41" t="inlineStr">
        <is>
          <t>New values shown</t>
        </is>
      </c>
      <c r="J109" s="42" t="n"/>
      <c r="K109" s="42" t="inlineStr">
        <is>
          <t>Not Run</t>
        </is>
      </c>
      <c r="L109" s="42" t="n"/>
      <c r="M109" s="43" t="n"/>
      <c r="N109" s="42" t="n"/>
      <c r="O109" s="42" t="n"/>
    </row>
    <row r="110" ht="23.25" customHeight="1" s="24">
      <c r="A110" s="41" t="inlineStr">
        <is>
          <t>ADM-21</t>
        </is>
      </c>
      <c r="B110" s="41" t="inlineStr">
        <is>
          <t>Admissions</t>
        </is>
      </c>
      <c r="C110" s="41" t="inlineStr">
        <is>
          <t>Confirm</t>
        </is>
      </c>
      <c r="D110" s="41" t="inlineStr">
        <is>
          <t>Functional</t>
        </is>
      </c>
      <c r="E110" s="41" t="inlineStr">
        <is>
          <t>High</t>
        </is>
      </c>
      <c r="F110" s="41" t="inlineStr">
        <is>
          <t>Admin</t>
        </is>
      </c>
      <c r="G110" s="41" t="inlineStr">
        <is>
          <t>Registered application</t>
        </is>
      </c>
      <c r="H110" s="41" t="inlineStr">
        <is>
          <t>Confirm Admission: fee 500, payment reference, blood group, religion, category, notes</t>
        </is>
      </c>
      <c r="I110" s="41" t="inlineStr">
        <is>
          <t>Fee amount and Payment reference both show a red star; moves to Admitted; fee visible in details</t>
        </is>
      </c>
      <c r="J110" s="42" t="n"/>
      <c r="K110" s="42" t="inlineStr">
        <is>
          <t>Not Run</t>
        </is>
      </c>
      <c r="L110" s="42" t="n"/>
      <c r="M110" s="43" t="n"/>
      <c r="N110" s="42" t="n"/>
      <c r="O110" s="42" t="inlineStr">
        <is>
          <t>Reworded Oct 16</t>
        </is>
      </c>
    </row>
    <row r="111" ht="15" customHeight="1" s="24">
      <c r="A111" s="41" t="inlineStr">
        <is>
          <t>ADM-22</t>
        </is>
      </c>
      <c r="B111" s="41" t="inlineStr">
        <is>
          <t>Admissions</t>
        </is>
      </c>
      <c r="C111" s="41" t="inlineStr">
        <is>
          <t>Confirm</t>
        </is>
      </c>
      <c r="D111" s="41" t="inlineStr">
        <is>
          <t>Validation</t>
        </is>
      </c>
      <c r="E111" s="41" t="inlineStr">
        <is>
          <t>Medium</t>
        </is>
      </c>
      <c r="F111" s="41" t="inlineStr">
        <is>
          <t>Admin</t>
        </is>
      </c>
      <c r="G111" s="41" t="n"/>
      <c r="H111" s="41" t="inlineStr">
        <is>
          <t>Negative fee</t>
        </is>
      </c>
      <c r="I111" s="41" t="inlineStr">
        <is>
          <t>Error</t>
        </is>
      </c>
      <c r="J111" s="42" t="n"/>
      <c r="K111" s="42" t="inlineStr">
        <is>
          <t>Not Run</t>
        </is>
      </c>
      <c r="L111" s="42" t="n"/>
      <c r="M111" s="43" t="n"/>
      <c r="N111" s="42" t="n"/>
      <c r="O111" s="42" t="n"/>
    </row>
    <row r="112" ht="15" customHeight="1" s="24">
      <c r="A112" s="41" t="inlineStr">
        <is>
          <t>ADM-23</t>
        </is>
      </c>
      <c r="B112" s="41" t="inlineStr">
        <is>
          <t>Admissions</t>
        </is>
      </c>
      <c r="C112" s="41" t="inlineStr">
        <is>
          <t>Confirm</t>
        </is>
      </c>
      <c r="D112" s="41" t="inlineStr">
        <is>
          <t>UI</t>
        </is>
      </c>
      <c r="E112" s="41" t="inlineStr">
        <is>
          <t>Low</t>
        </is>
      </c>
      <c r="F112" s="41" t="inlineStr">
        <is>
          <t>Admin</t>
        </is>
      </c>
      <c r="G112" s="41" t="n"/>
      <c r="H112" s="41" t="inlineStr">
        <is>
          <t>Religion and Category fields</t>
        </is>
      </c>
      <c r="I112" s="41" t="inlineStr">
        <is>
          <t>Fixed lists, no free text</t>
        </is>
      </c>
      <c r="J112" s="42" t="n"/>
      <c r="K112" s="42" t="inlineStr">
        <is>
          <t>Not Run</t>
        </is>
      </c>
      <c r="L112" s="42" t="n"/>
      <c r="M112" s="43" t="n"/>
      <c r="N112" s="42" t="n"/>
      <c r="O112" s="42" t="n"/>
    </row>
    <row r="113" ht="23.25" customHeight="1" s="24">
      <c r="A113" s="41" t="inlineStr">
        <is>
          <t>ADM-24</t>
        </is>
      </c>
      <c r="B113" s="41" t="inlineStr">
        <is>
          <t>Admissions</t>
        </is>
      </c>
      <c r="C113" s="41" t="inlineStr">
        <is>
          <t>Reject</t>
        </is>
      </c>
      <c r="D113" s="41" t="inlineStr">
        <is>
          <t>Functional</t>
        </is>
      </c>
      <c r="E113" s="41" t="inlineStr">
        <is>
          <t>High</t>
        </is>
      </c>
      <c r="F113" s="41" t="inlineStr">
        <is>
          <t>Admin</t>
        </is>
      </c>
      <c r="G113" s="41" t="n"/>
      <c r="H113" s="41" t="inlineStr">
        <is>
          <t>Reject an application</t>
        </is>
      </c>
      <c r="I113" s="41" t="inlineStr">
        <is>
          <t>Modal asks for a reason; empty reason blocked; saved reason shown via View Rejection Reason</t>
        </is>
      </c>
      <c r="J113" s="42" t="n"/>
      <c r="K113" s="42" t="inlineStr">
        <is>
          <t>Not Run</t>
        </is>
      </c>
      <c r="L113" s="42" t="n"/>
      <c r="M113" s="43" t="n"/>
      <c r="N113" s="42" t="n"/>
      <c r="O113" s="42" t="n"/>
    </row>
    <row r="114" ht="15" customHeight="1" s="24">
      <c r="A114" s="41" t="inlineStr">
        <is>
          <t>ADM-25</t>
        </is>
      </c>
      <c r="B114" s="41" t="inlineStr">
        <is>
          <t>Admissions</t>
        </is>
      </c>
      <c r="C114" s="41" t="inlineStr">
        <is>
          <t>Reject</t>
        </is>
      </c>
      <c r="D114" s="41" t="inlineStr">
        <is>
          <t>Negative</t>
        </is>
      </c>
      <c r="E114" s="41" t="inlineStr">
        <is>
          <t>Medium</t>
        </is>
      </c>
      <c r="F114" s="41" t="inlineStr">
        <is>
          <t>Admin</t>
        </is>
      </c>
      <c r="G114" s="41" t="inlineStr">
        <is>
          <t>Enrolled application</t>
        </is>
      </c>
      <c r="H114" s="41" t="inlineStr">
        <is>
          <t>Look for Reject</t>
        </is>
      </c>
      <c r="I114" s="41" t="inlineStr">
        <is>
          <t>Action not offered</t>
        </is>
      </c>
      <c r="J114" s="42" t="n"/>
      <c r="K114" s="42" t="inlineStr">
        <is>
          <t>Not Run</t>
        </is>
      </c>
      <c r="L114" s="42" t="n"/>
      <c r="M114" s="43" t="n"/>
      <c r="N114" s="42" t="n"/>
      <c r="O114" s="42" t="n"/>
    </row>
    <row r="115" ht="15" customHeight="1" s="24">
      <c r="A115" s="41" t="inlineStr">
        <is>
          <t>ADM-26</t>
        </is>
      </c>
      <c r="B115" s="41" t="inlineStr">
        <is>
          <t>Admissions</t>
        </is>
      </c>
      <c r="C115" s="41" t="inlineStr">
        <is>
          <t>Delete</t>
        </is>
      </c>
      <c r="D115" s="41" t="inlineStr">
        <is>
          <t>Functional</t>
        </is>
      </c>
      <c r="E115" s="41" t="inlineStr">
        <is>
          <t>Medium</t>
        </is>
      </c>
      <c r="F115" s="41" t="inlineStr">
        <is>
          <t>Admin</t>
        </is>
      </c>
      <c r="G115" s="41" t="n"/>
      <c r="H115" s="41" t="inlineStr">
        <is>
          <t>Delete an application</t>
        </is>
      </c>
      <c r="I115" s="41" t="inlineStr">
        <is>
          <t>Confirm, disappears</t>
        </is>
      </c>
      <c r="J115" s="42" t="n"/>
      <c r="K115" s="42" t="inlineStr">
        <is>
          <t>Not Run</t>
        </is>
      </c>
      <c r="L115" s="42" t="n"/>
      <c r="M115" s="43" t="n"/>
      <c r="N115" s="42" t="n"/>
      <c r="O115" s="42" t="n"/>
    </row>
    <row r="116" ht="23.25" customHeight="1" s="24">
      <c r="A116" s="41" t="inlineStr">
        <is>
          <t>ADM-G01</t>
        </is>
      </c>
      <c r="B116" s="41" t="inlineStr">
        <is>
          <t>Admissions</t>
        </is>
      </c>
      <c r="C116" s="41" t="inlineStr">
        <is>
          <t>Existing parent (G2)</t>
        </is>
      </c>
      <c r="D116" s="41" t="inlineStr">
        <is>
          <t>Functional</t>
        </is>
      </c>
      <c r="E116" s="41" t="inlineStr">
        <is>
          <t>High</t>
        </is>
      </c>
      <c r="F116" s="41" t="inlineStr">
        <is>
          <t>Admin</t>
        </is>
      </c>
      <c r="G116" s="41" t="inlineStr">
        <is>
          <t>Parent 'ZT Father' exists with a linked child</t>
        </is>
      </c>
      <c r="H116" s="41" t="inlineStr">
        <is>
          <t>In New Registration add a guardian and use 'Pick an existing parent'; type 2+ letters of the name</t>
        </is>
      </c>
      <c r="I116" s="41" t="inlineStr">
        <is>
          <t>Results show name, mobile and the child names already linked to that parent</t>
        </is>
      </c>
      <c r="J116" s="42" t="n"/>
      <c r="K116" s="42" t="inlineStr">
        <is>
          <t>Not Run</t>
        </is>
      </c>
      <c r="L116" s="42" t="n"/>
      <c r="M116" s="43" t="n"/>
      <c r="N116" s="42" t="n"/>
      <c r="O116" s="42" t="n"/>
    </row>
    <row r="117" ht="15" customHeight="1" s="24">
      <c r="A117" s="41" t="inlineStr">
        <is>
          <t>ADM-G02</t>
        </is>
      </c>
      <c r="B117" s="41" t="inlineStr">
        <is>
          <t>Admissions</t>
        </is>
      </c>
      <c r="C117" s="41" t="inlineStr">
        <is>
          <t>Existing parent (G2)</t>
        </is>
      </c>
      <c r="D117" s="41" t="inlineStr">
        <is>
          <t>Functional</t>
        </is>
      </c>
      <c r="E117" s="41" t="inlineStr">
        <is>
          <t>High</t>
        </is>
      </c>
      <c r="F117" s="41" t="inlineStr">
        <is>
          <t>Admin</t>
        </is>
      </c>
      <c r="G117" s="41" t="n"/>
      <c r="H117" s="41" t="inlineStr">
        <is>
          <t>Search by mobile number (3+ digits)</t>
        </is>
      </c>
      <c r="I117" s="41" t="inlineStr">
        <is>
          <t>Matching parent(s) listed; maximum 10 results</t>
        </is>
      </c>
      <c r="J117" s="42" t="n"/>
      <c r="K117" s="42" t="inlineStr">
        <is>
          <t>Not Run</t>
        </is>
      </c>
      <c r="L117" s="42" t="n"/>
      <c r="M117" s="43" t="n"/>
      <c r="N117" s="42" t="n"/>
      <c r="O117" s="42" t="n"/>
    </row>
    <row r="118" ht="15" customHeight="1" s="24">
      <c r="A118" s="41" t="inlineStr">
        <is>
          <t>ADM-G03</t>
        </is>
      </c>
      <c r="B118" s="41" t="inlineStr">
        <is>
          <t>Admissions</t>
        </is>
      </c>
      <c r="C118" s="41" t="inlineStr">
        <is>
          <t>Existing parent (G2)</t>
        </is>
      </c>
      <c r="D118" s="41" t="inlineStr">
        <is>
          <t>Validation</t>
        </is>
      </c>
      <c r="E118" s="41" t="inlineStr">
        <is>
          <t>Low</t>
        </is>
      </c>
      <c r="F118" s="41" t="inlineStr">
        <is>
          <t>Admin</t>
        </is>
      </c>
      <c r="G118" s="41" t="n"/>
      <c r="H118" s="41" t="inlineStr">
        <is>
          <t>Type only 1 character</t>
        </is>
      </c>
      <c r="I118" s="41" t="inlineStr">
        <is>
          <t>No search runs / hint to type more</t>
        </is>
      </c>
      <c r="J118" s="42" t="n"/>
      <c r="K118" s="42" t="inlineStr">
        <is>
          <t>Not Run</t>
        </is>
      </c>
      <c r="L118" s="42" t="n"/>
      <c r="M118" s="43" t="n"/>
      <c r="N118" s="42" t="n"/>
      <c r="O118" s="42" t="n"/>
    </row>
    <row r="119" ht="23.25" customHeight="1" s="24">
      <c r="A119" s="41" t="inlineStr">
        <is>
          <t>ADM-G04</t>
        </is>
      </c>
      <c r="B119" s="41" t="inlineStr">
        <is>
          <t>Admissions</t>
        </is>
      </c>
      <c r="C119" s="41" t="inlineStr">
        <is>
          <t>Existing parent (G2)</t>
        </is>
      </c>
      <c r="D119" s="41" t="inlineStr">
        <is>
          <t>Functional</t>
        </is>
      </c>
      <c r="E119" s="41" t="inlineStr">
        <is>
          <t>High</t>
        </is>
      </c>
      <c r="F119" s="41" t="inlineStr">
        <is>
          <t>Admin</t>
        </is>
      </c>
      <c r="G119" s="41" t="n"/>
      <c r="H119" s="41" t="inlineStr">
        <is>
          <t>Select a parent; look at the guardian row; Save</t>
        </is>
      </c>
      <c r="I119" s="41" t="inlineStr">
        <is>
          <t>Guardian row shows the parent's name, mobile and e-mail (read-only); saved; reopening shows the same link</t>
        </is>
      </c>
      <c r="J119" s="42" t="n"/>
      <c r="K119" s="42" t="inlineStr">
        <is>
          <t>Not Run</t>
        </is>
      </c>
      <c r="L119" s="42" t="n"/>
      <c r="M119" s="43" t="n"/>
      <c r="N119" s="42" t="n"/>
      <c r="O119" s="42" t="n"/>
    </row>
    <row r="120" ht="23.25" customHeight="1" s="24">
      <c r="A120" s="41" t="inlineStr">
        <is>
          <t>ADM-G05</t>
        </is>
      </c>
      <c r="B120" s="41" t="inlineStr">
        <is>
          <t>Admissions</t>
        </is>
      </c>
      <c r="C120" s="41" t="inlineStr">
        <is>
          <t>Existing parent (G2)</t>
        </is>
      </c>
      <c r="D120" s="41" t="inlineStr">
        <is>
          <t>Functional</t>
        </is>
      </c>
      <c r="E120" s="41" t="inlineStr">
        <is>
          <t>High</t>
        </is>
      </c>
      <c r="F120" s="41" t="inlineStr">
        <is>
          <t>Admin</t>
        </is>
      </c>
      <c r="G120" s="41" t="inlineStr">
        <is>
          <t>Guardian linked to a parent</t>
        </is>
      </c>
      <c r="H120" s="41" t="inlineStr">
        <is>
          <t>Change the typed name/mobile in the form, if the fields are editable, and Save</t>
        </is>
      </c>
      <c r="I120" s="41" t="inlineStr">
        <is>
          <t>The saved guardian still has the PARENT's name/mobile/e-mail (server copies from the parent record)</t>
        </is>
      </c>
      <c r="J120" s="42" t="n"/>
      <c r="K120" s="42" t="inlineStr">
        <is>
          <t>Not Run</t>
        </is>
      </c>
      <c r="L120" s="42" t="n"/>
      <c r="M120" s="43" t="n"/>
      <c r="N120" s="42" t="n"/>
      <c r="O120" s="42" t="n"/>
    </row>
    <row r="121" ht="15" customHeight="1" s="24">
      <c r="A121" s="41" t="inlineStr">
        <is>
          <t>ADM-G06</t>
        </is>
      </c>
      <c r="B121" s="41" t="inlineStr">
        <is>
          <t>Admissions</t>
        </is>
      </c>
      <c r="C121" s="41" t="inlineStr">
        <is>
          <t>Existing parent (G2)</t>
        </is>
      </c>
      <c r="D121" s="41" t="inlineStr">
        <is>
          <t>Functional</t>
        </is>
      </c>
      <c r="E121" s="41" t="inlineStr">
        <is>
          <t>Medium</t>
        </is>
      </c>
      <c r="F121" s="41" t="inlineStr">
        <is>
          <t>Admin</t>
        </is>
      </c>
      <c r="G121" s="41" t="inlineStr">
        <is>
          <t>Linked guardian</t>
        </is>
      </c>
      <c r="H121" s="41" t="inlineStr">
        <is>
          <t>Choose 'Use a different person' and type the details by hand</t>
        </is>
      </c>
      <c r="I121" s="41" t="inlineStr">
        <is>
          <t>Link removed; typed details saved</t>
        </is>
      </c>
      <c r="J121" s="42" t="n"/>
      <c r="K121" s="42" t="inlineStr">
        <is>
          <t>Not Run</t>
        </is>
      </c>
      <c r="L121" s="42" t="n"/>
      <c r="M121" s="43" t="n"/>
      <c r="N121" s="42" t="n"/>
      <c r="O121" s="42" t="n"/>
    </row>
    <row r="122" ht="23.25" customHeight="1" s="24">
      <c r="A122" s="41" t="inlineStr">
        <is>
          <t>ADM-G07</t>
        </is>
      </c>
      <c r="B122" s="41" t="inlineStr">
        <is>
          <t>Admissions</t>
        </is>
      </c>
      <c r="C122" s="41" t="inlineStr">
        <is>
          <t>Existing parent (G2)</t>
        </is>
      </c>
      <c r="D122" s="41" t="inlineStr">
        <is>
          <t>Negative</t>
        </is>
      </c>
      <c r="E122" s="41" t="inlineStr">
        <is>
          <t>High</t>
        </is>
      </c>
      <c r="F122" s="41" t="inlineStr">
        <is>
          <t>Admin</t>
        </is>
      </c>
      <c r="G122" s="41" t="n"/>
      <c r="H122" s="41" t="inlineStr">
        <is>
          <t>Pick the same parent for both Father and Mother</t>
        </is>
      </c>
      <c r="I122" s="41" t="inlineStr">
        <is>
          <t>Refused with a clear message (a parent cannot be two guardians); nothing saved</t>
        </is>
      </c>
      <c r="J122" s="42" t="n"/>
      <c r="K122" s="42" t="inlineStr">
        <is>
          <t>Not Run</t>
        </is>
      </c>
      <c r="L122" s="42" t="n"/>
      <c r="M122" s="43" t="n"/>
      <c r="N122" s="42" t="n"/>
      <c r="O122" s="42" t="n"/>
    </row>
    <row r="123" ht="23.25" customHeight="1" s="24">
      <c r="A123" s="41" t="inlineStr">
        <is>
          <t>ADM-G08</t>
        </is>
      </c>
      <c r="B123" s="41" t="inlineStr">
        <is>
          <t>Admissions</t>
        </is>
      </c>
      <c r="C123" s="41" t="inlineStr">
        <is>
          <t>Existing parent (G2)</t>
        </is>
      </c>
      <c r="D123" s="41" t="inlineStr">
        <is>
          <t>Functional</t>
        </is>
      </c>
      <c r="E123" s="41" t="inlineStr">
        <is>
          <t>Medium</t>
        </is>
      </c>
      <c r="F123" s="41" t="inlineStr">
        <is>
          <t>Admin</t>
        </is>
      </c>
      <c r="G123" s="41" t="inlineStr">
        <is>
          <t>Mobile typed by hand matches an existing parent</t>
        </is>
      </c>
      <c r="H123" s="41" t="inlineStr">
        <is>
          <t>Type a mobile that belongs to an existing parent in a guardian row</t>
        </is>
      </c>
      <c r="I123" s="41" t="inlineStr">
        <is>
          <t>A hint offers the matching parent (shown only to users with Parents.View)</t>
        </is>
      </c>
      <c r="J123" s="42" t="n"/>
      <c r="K123" s="42" t="inlineStr">
        <is>
          <t>Not Run</t>
        </is>
      </c>
      <c r="L123" s="42" t="n"/>
      <c r="M123" s="43" t="n"/>
      <c r="N123" s="42" t="n"/>
      <c r="O123" s="42" t="n"/>
    </row>
    <row r="124" ht="23.25" customHeight="1" s="24">
      <c r="A124" s="41" t="inlineStr">
        <is>
          <t>ADM-G09</t>
        </is>
      </c>
      <c r="B124" s="41" t="inlineStr">
        <is>
          <t>Admissions</t>
        </is>
      </c>
      <c r="C124" s="41" t="inlineStr">
        <is>
          <t>Existing parent (G2)</t>
        </is>
      </c>
      <c r="D124" s="41" t="inlineStr">
        <is>
          <t>Security</t>
        </is>
      </c>
      <c r="E124" s="41" t="inlineStr">
        <is>
          <t>High</t>
        </is>
      </c>
      <c r="F124" s="41" t="inlineStr">
        <is>
          <t>Clerk without Parents.View</t>
        </is>
      </c>
      <c r="G124" s="41" t="inlineStr">
        <is>
          <t>Role without Parents.View but with Admissions.Create</t>
        </is>
      </c>
      <c r="H124" s="41" t="inlineStr">
        <is>
          <t>Open New Registration</t>
        </is>
      </c>
      <c r="I124" s="41" t="inlineStr">
        <is>
          <t>No parent search, no mobile hint and no children are shown; typing guardians by hand still works</t>
        </is>
      </c>
      <c r="J124" s="42" t="n"/>
      <c r="K124" s="42" t="inlineStr">
        <is>
          <t>Not Run</t>
        </is>
      </c>
      <c r="L124" s="42" t="n"/>
      <c r="M124" s="43" t="n"/>
      <c r="N124" s="42" t="n"/>
      <c r="O124" s="42" t="n"/>
    </row>
    <row r="125" ht="23.25" customHeight="1" s="24">
      <c r="A125" s="41" t="inlineStr">
        <is>
          <t>ADM-G10</t>
        </is>
      </c>
      <c r="B125" s="41" t="inlineStr">
        <is>
          <t>Admissions</t>
        </is>
      </c>
      <c r="C125" s="41" t="inlineStr">
        <is>
          <t>Existing parent (G2)</t>
        </is>
      </c>
      <c r="D125" s="41" t="inlineStr">
        <is>
          <t>Security</t>
        </is>
      </c>
      <c r="E125" s="41" t="inlineStr">
        <is>
          <t>High</t>
        </is>
      </c>
      <c r="F125" s="41" t="inlineStr">
        <is>
          <t>Clerk without Parents.View</t>
        </is>
      </c>
      <c r="G125" s="41" t="inlineStr">
        <is>
          <t>Application already linked to a parent by an Admin</t>
        </is>
      </c>
      <c r="H125" s="41" t="inlineStr">
        <is>
          <t>Edit the application remarks and Save</t>
        </is>
      </c>
      <c r="I125" s="41" t="inlineStr">
        <is>
          <t>Saved without error; link kept</t>
        </is>
      </c>
      <c r="J125" s="42" t="n"/>
      <c r="K125" s="42" t="inlineStr">
        <is>
          <t>Not Run</t>
        </is>
      </c>
      <c r="L125" s="42" t="n"/>
      <c r="M125" s="43" t="n"/>
      <c r="N125" s="42" t="n"/>
      <c r="O125" s="42" t="n"/>
    </row>
    <row r="126" ht="34.5" customHeight="1" s="24">
      <c r="A126" s="41" t="inlineStr">
        <is>
          <t>ADM-G11</t>
        </is>
      </c>
      <c r="B126" s="41" t="inlineStr">
        <is>
          <t>Admissions</t>
        </is>
      </c>
      <c r="C126" s="41" t="inlineStr">
        <is>
          <t>Existing parent (G2)</t>
        </is>
      </c>
      <c r="D126" s="41" t="inlineStr">
        <is>
          <t>Security</t>
        </is>
      </c>
      <c r="E126" s="41" t="inlineStr">
        <is>
          <t>High</t>
        </is>
      </c>
      <c r="F126" s="41" t="inlineStr">
        <is>
          <t>Role without Admissions.Create/Edit</t>
        </is>
      </c>
      <c r="G126" s="41" t="inlineStr">
        <is>
          <t>Role has Parents.View only</t>
        </is>
      </c>
      <c r="H126" s="41" t="inlineStr">
        <is>
          <t>Call the search (or open the screen)</t>
        </is>
      </c>
      <c r="I126" s="41" t="inlineStr">
        <is>
          <t>Refused (403); no parent data returned</t>
        </is>
      </c>
      <c r="J126" s="42" t="n"/>
      <c r="K126" s="42" t="inlineStr">
        <is>
          <t>Not Run</t>
        </is>
      </c>
      <c r="L126" s="42" t="n"/>
      <c r="M126" s="43" t="n"/>
      <c r="N126" s="42" t="n"/>
      <c r="O126" s="42" t="n"/>
    </row>
    <row r="127" ht="23.25" customHeight="1" s="24">
      <c r="A127" s="41" t="inlineStr">
        <is>
          <t>ADM-G12</t>
        </is>
      </c>
      <c r="B127" s="41" t="inlineStr">
        <is>
          <t>Admissions</t>
        </is>
      </c>
      <c r="C127" s="41" t="inlineStr">
        <is>
          <t>Existing parent (G2)</t>
        </is>
      </c>
      <c r="D127" s="41" t="inlineStr">
        <is>
          <t>Functional</t>
        </is>
      </c>
      <c r="E127" s="41" t="inlineStr">
        <is>
          <t>High</t>
        </is>
      </c>
      <c r="F127" s="41" t="inlineStr">
        <is>
          <t>Admin</t>
        </is>
      </c>
      <c r="G127" s="41" t="inlineStr">
        <is>
          <t>Admitted application whose Father is linked to ZT Father</t>
        </is>
      </c>
      <c r="H127" s="41" t="inlineStr">
        <is>
          <t>Click Enroll to Class</t>
        </is>
      </c>
      <c r="I127" s="41" t="inlineStr">
        <is>
          <t>Guardian pre-selected as 'Use existing: ZT Father' even if the typed mobile differs</t>
        </is>
      </c>
      <c r="J127" s="42" t="n"/>
      <c r="K127" s="42" t="inlineStr">
        <is>
          <t>Not Run</t>
        </is>
      </c>
      <c r="L127" s="42" t="n"/>
      <c r="M127" s="43" t="n"/>
      <c r="N127" s="42" t="n"/>
      <c r="O127" s="42" t="n"/>
    </row>
    <row r="128" ht="23.25" customHeight="1" s="24">
      <c r="A128" s="41" t="inlineStr">
        <is>
          <t>ADM-G13</t>
        </is>
      </c>
      <c r="B128" s="41" t="inlineStr">
        <is>
          <t>Admissions</t>
        </is>
      </c>
      <c r="C128" s="41" t="inlineStr">
        <is>
          <t>Existing parent (G2)</t>
        </is>
      </c>
      <c r="D128" s="41" t="inlineStr">
        <is>
          <t>Functional</t>
        </is>
      </c>
      <c r="E128" s="41" t="inlineStr">
        <is>
          <t>High</t>
        </is>
      </c>
      <c r="F128" s="41" t="inlineStr">
        <is>
          <t>Admin</t>
        </is>
      </c>
      <c r="G128" s="41" t="n"/>
      <c r="H128" s="41" t="inlineStr">
        <is>
          <t>Enrol with the pre-selected parent</t>
        </is>
      </c>
      <c r="I128" s="41" t="inlineStr">
        <is>
          <t>Student created and linked to that parent; no duplicate parent created (check Parents list)</t>
        </is>
      </c>
      <c r="J128" s="42" t="n"/>
      <c r="K128" s="42" t="inlineStr">
        <is>
          <t>Not Run</t>
        </is>
      </c>
      <c r="L128" s="42" t="n"/>
      <c r="M128" s="43" t="n"/>
      <c r="N128" s="42" t="n"/>
      <c r="O128" s="42" t="n"/>
    </row>
    <row r="129" ht="34.5" customHeight="1" s="24">
      <c r="A129" s="41" t="inlineStr">
        <is>
          <t>ADM-G14</t>
        </is>
      </c>
      <c r="B129" s="41" t="inlineStr">
        <is>
          <t>Admissions</t>
        </is>
      </c>
      <c r="C129" s="41" t="inlineStr">
        <is>
          <t>Existing parent (G2)</t>
        </is>
      </c>
      <c r="D129" s="41" t="inlineStr">
        <is>
          <t>Functional</t>
        </is>
      </c>
      <c r="E129" s="41" t="inlineStr">
        <is>
          <t>High</t>
        </is>
      </c>
      <c r="F129" s="41" t="inlineStr">
        <is>
          <t>Admin</t>
        </is>
      </c>
      <c r="G129" s="41" t="inlineStr">
        <is>
          <t>Same as ADM-G12</t>
        </is>
      </c>
      <c r="H129" s="41" t="inlineStr">
        <is>
          <t>In the enrol dialog choose a DIFFERENT parent (or Create new) and enrol</t>
        </is>
      </c>
      <c r="I129" s="41" t="inlineStr">
        <is>
          <t>Enrolment succeeds with the chosen parent; ask a developer / check audit log: the change is recorded with old parent, new parent, user and time</t>
        </is>
      </c>
      <c r="J129" s="42" t="n"/>
      <c r="K129" s="42" t="inlineStr">
        <is>
          <t>Not Run</t>
        </is>
      </c>
      <c r="L129" s="42" t="n"/>
      <c r="M129" s="43" t="n"/>
      <c r="N129" s="42" t="n"/>
      <c r="O129" s="42" t="n"/>
    </row>
    <row r="130" ht="23.25" customHeight="1" s="24">
      <c r="A130" s="41" t="inlineStr">
        <is>
          <t>ADM-G15</t>
        </is>
      </c>
      <c r="B130" s="41" t="inlineStr">
        <is>
          <t>Admissions</t>
        </is>
      </c>
      <c r="C130" s="41" t="inlineStr">
        <is>
          <t>Existing parent (G2)</t>
        </is>
      </c>
      <c r="D130" s="41" t="inlineStr">
        <is>
          <t>Negative</t>
        </is>
      </c>
      <c r="E130" s="41" t="inlineStr">
        <is>
          <t>High</t>
        </is>
      </c>
      <c r="F130" s="41" t="inlineStr">
        <is>
          <t>Admin</t>
        </is>
      </c>
      <c r="G130" s="41" t="inlineStr">
        <is>
          <t>Linked parent was deleted after registration</t>
        </is>
      </c>
      <c r="H130" s="41" t="inlineStr">
        <is>
          <t>Click Enroll to Class</t>
        </is>
      </c>
      <c r="I130" s="41" t="inlineStr">
        <is>
          <t>Enrol is refused with a clear message to open the application and choose 'Use a different person'; no student and no new parent created</t>
        </is>
      </c>
      <c r="J130" s="42" t="n"/>
      <c r="K130" s="42" t="inlineStr">
        <is>
          <t>Not Run</t>
        </is>
      </c>
      <c r="L130" s="42" t="n"/>
      <c r="M130" s="43" t="n"/>
      <c r="N130" s="42" t="n"/>
      <c r="O130" s="42" t="n"/>
    </row>
    <row r="131" ht="23.25" customHeight="1" s="24">
      <c r="A131" s="41" t="inlineStr">
        <is>
          <t>ADM-G16</t>
        </is>
      </c>
      <c r="B131" s="41" t="inlineStr">
        <is>
          <t>Admissions</t>
        </is>
      </c>
      <c r="C131" s="41" t="inlineStr">
        <is>
          <t>Existing parent (G2)</t>
        </is>
      </c>
      <c r="D131" s="41" t="inlineStr">
        <is>
          <t>Functional</t>
        </is>
      </c>
      <c r="E131" s="41" t="inlineStr">
        <is>
          <t>Medium</t>
        </is>
      </c>
      <c r="F131" s="41" t="inlineStr">
        <is>
          <t>Admin</t>
        </is>
      </c>
      <c r="G131" s="41" t="inlineStr">
        <is>
          <t>Two guardians linked to two different parents</t>
        </is>
      </c>
      <c r="H131" s="41" t="inlineStr">
        <is>
          <t>In enrol, swap the two parents between the guardians</t>
        </is>
      </c>
      <c r="I131" s="41" t="inlineStr">
        <is>
          <t>Succeeds; each guardian ends up with the chosen parent</t>
        </is>
      </c>
      <c r="J131" s="42" t="n"/>
      <c r="K131" s="42" t="inlineStr">
        <is>
          <t>Not Run</t>
        </is>
      </c>
      <c r="L131" s="42" t="n"/>
      <c r="M131" s="43" t="n"/>
      <c r="N131" s="42" t="n"/>
      <c r="O131" s="42" t="n"/>
    </row>
    <row r="132" ht="23.25" customHeight="1" s="24">
      <c r="A132" s="41" t="inlineStr">
        <is>
          <t>ADM-G17</t>
        </is>
      </c>
      <c r="B132" s="41" t="inlineStr">
        <is>
          <t>Admissions</t>
        </is>
      </c>
      <c r="C132" s="41" t="inlineStr">
        <is>
          <t>Existing parent (G2)</t>
        </is>
      </c>
      <c r="D132" s="41" t="inlineStr">
        <is>
          <t>Functional</t>
        </is>
      </c>
      <c r="E132" s="41" t="inlineStr">
        <is>
          <t>Medium</t>
        </is>
      </c>
      <c r="F132" s="41" t="inlineStr">
        <is>
          <t>Admin</t>
        </is>
      </c>
      <c r="G132" s="41" t="inlineStr">
        <is>
          <t>Guardian mobile equals a parent linked to ANOTHER guardian</t>
        </is>
      </c>
      <c r="H132" s="41" t="inlineStr">
        <is>
          <t>Open enrol</t>
        </is>
      </c>
      <c r="I132" s="41" t="inlineStr">
        <is>
          <t>That guardian is not pre-selected; staff must choose</t>
        </is>
      </c>
      <c r="J132" s="42" t="n"/>
      <c r="K132" s="42" t="inlineStr">
        <is>
          <t>Not Run</t>
        </is>
      </c>
      <c r="L132" s="42" t="n"/>
      <c r="M132" s="43" t="n"/>
      <c r="N132" s="42" t="n"/>
      <c r="O132" s="42" t="n"/>
    </row>
    <row r="133" ht="23.25" customHeight="1" s="24">
      <c r="A133" s="41" t="inlineStr">
        <is>
          <t>ADM-30</t>
        </is>
      </c>
      <c r="B133" s="41" t="inlineStr">
        <is>
          <t>Admissions</t>
        </is>
      </c>
      <c r="C133" s="41" t="inlineStr">
        <is>
          <t>Enrol</t>
        </is>
      </c>
      <c r="D133" s="41" t="inlineStr">
        <is>
          <t>Functional</t>
        </is>
      </c>
      <c r="E133" s="41" t="inlineStr">
        <is>
          <t>High</t>
        </is>
      </c>
      <c r="F133" s="41" t="inlineStr">
        <is>
          <t>Admin</t>
        </is>
      </c>
      <c r="G133" s="41" t="inlineStr">
        <is>
          <t>Admitted application, Father+Mother whose mobiles match existing parents</t>
        </is>
      </c>
      <c r="H133" s="41" t="inlineStr">
        <is>
          <t>Click Enroll to Class</t>
        </is>
      </c>
      <c r="I133" s="41" t="inlineStr">
        <is>
          <t>Modal loads guardian matches; each pre-selected 'Use existing: &lt;parent&gt;'</t>
        </is>
      </c>
      <c r="J133" s="42" t="n"/>
      <c r="K133" s="42" t="inlineStr">
        <is>
          <t>Not Run</t>
        </is>
      </c>
      <c r="L133" s="42" t="n"/>
      <c r="M133" s="43" t="n"/>
      <c r="N133" s="42" t="n"/>
      <c r="O133" s="42" t="n"/>
    </row>
    <row r="134" ht="15" customHeight="1" s="24">
      <c r="A134" s="41" t="inlineStr">
        <is>
          <t>ADM-31</t>
        </is>
      </c>
      <c r="B134" s="41" t="inlineStr">
        <is>
          <t>Admissions</t>
        </is>
      </c>
      <c r="C134" s="41" t="inlineStr">
        <is>
          <t>Enrol</t>
        </is>
      </c>
      <c r="D134" s="41" t="inlineStr">
        <is>
          <t>Functional</t>
        </is>
      </c>
      <c r="E134" s="41" t="inlineStr">
        <is>
          <t>High</t>
        </is>
      </c>
      <c r="F134" s="41" t="inlineStr">
        <is>
          <t>Admin</t>
        </is>
      </c>
      <c r="G134" s="41" t="n"/>
      <c r="H134" s="41" t="inlineStr">
        <is>
          <t>Guardian mobile matches nobody</t>
        </is>
      </c>
      <c r="I134" s="41" t="inlineStr">
        <is>
          <t>Pre-selected 'Create new parent'</t>
        </is>
      </c>
      <c r="J134" s="42" t="n"/>
      <c r="K134" s="42" t="inlineStr">
        <is>
          <t>Not Run</t>
        </is>
      </c>
      <c r="L134" s="42" t="n"/>
      <c r="M134" s="43" t="n"/>
      <c r="N134" s="42" t="n"/>
      <c r="O134" s="42" t="n"/>
    </row>
    <row r="135" ht="15" customHeight="1" s="24">
      <c r="A135" s="41" t="inlineStr">
        <is>
          <t>ADM-32</t>
        </is>
      </c>
      <c r="B135" s="41" t="inlineStr">
        <is>
          <t>Admissions</t>
        </is>
      </c>
      <c r="C135" s="41" t="inlineStr">
        <is>
          <t>Enrol</t>
        </is>
      </c>
      <c r="D135" s="41" t="inlineStr">
        <is>
          <t>Functional</t>
        </is>
      </c>
      <c r="E135" s="41" t="inlineStr">
        <is>
          <t>High</t>
        </is>
      </c>
      <c r="F135" s="41" t="inlineStr">
        <is>
          <t>Admin</t>
        </is>
      </c>
      <c r="G135" s="41" t="inlineStr">
        <is>
          <t>Two parents share the mobile</t>
        </is>
      </c>
      <c r="H135" s="41" t="inlineStr">
        <is>
          <t>Open enrol</t>
        </is>
      </c>
      <c r="I135" s="41" t="inlineStr">
        <is>
          <t>No pre-selection; staff must choose (or search another parent)</t>
        </is>
      </c>
      <c r="J135" s="42" t="n"/>
      <c r="K135" s="42" t="inlineStr">
        <is>
          <t>Not Run</t>
        </is>
      </c>
      <c r="L135" s="42" t="n"/>
      <c r="M135" s="43" t="n"/>
      <c r="N135" s="42" t="n"/>
      <c r="O135" s="42" t="n"/>
    </row>
    <row r="136" ht="15" customHeight="1" s="24">
      <c r="A136" s="41" t="inlineStr">
        <is>
          <t>ADM-33</t>
        </is>
      </c>
      <c r="B136" s="41" t="inlineStr">
        <is>
          <t>Admissions</t>
        </is>
      </c>
      <c r="C136" s="41" t="inlineStr">
        <is>
          <t>Enrol</t>
        </is>
      </c>
      <c r="D136" s="41" t="inlineStr">
        <is>
          <t>Validation</t>
        </is>
      </c>
      <c r="E136" s="41" t="inlineStr">
        <is>
          <t>High</t>
        </is>
      </c>
      <c r="F136" s="41" t="inlineStr">
        <is>
          <t>Admin</t>
        </is>
      </c>
      <c r="G136" s="41" t="inlineStr">
        <is>
          <t>Guardian without mobile</t>
        </is>
      </c>
      <c r="H136" s="41" t="inlineStr">
        <is>
          <t>Open enrol</t>
        </is>
      </c>
      <c r="I136" s="41" t="inlineStr">
        <is>
          <t>Enrol button blocked with a message</t>
        </is>
      </c>
      <c r="J136" s="42" t="n"/>
      <c r="K136" s="42" t="inlineStr">
        <is>
          <t>Not Run</t>
        </is>
      </c>
      <c r="L136" s="42" t="n"/>
      <c r="M136" s="43" t="n"/>
      <c r="N136" s="42" t="n"/>
      <c r="O136" s="42" t="n"/>
    </row>
    <row r="137" ht="15" customHeight="1" s="24">
      <c r="A137" s="41" t="inlineStr">
        <is>
          <t>ADM-34</t>
        </is>
      </c>
      <c r="B137" s="41" t="inlineStr">
        <is>
          <t>Admissions</t>
        </is>
      </c>
      <c r="C137" s="41" t="inlineStr">
        <is>
          <t>Enrol</t>
        </is>
      </c>
      <c r="D137" s="41" t="inlineStr">
        <is>
          <t>Validation</t>
        </is>
      </c>
      <c r="E137" s="41" t="inlineStr">
        <is>
          <t>High</t>
        </is>
      </c>
      <c r="F137" s="41" t="inlineStr">
        <is>
          <t>Admin</t>
        </is>
      </c>
      <c r="G137" s="41" t="n"/>
      <c r="H137" s="41" t="inlineStr">
        <is>
          <t>Choose the same existing parent for two guardians</t>
        </is>
      </c>
      <c r="I137" s="41" t="inlineStr">
        <is>
          <t>Blocked with message</t>
        </is>
      </c>
      <c r="J137" s="42" t="n"/>
      <c r="K137" s="42" t="inlineStr">
        <is>
          <t>Not Run</t>
        </is>
      </c>
      <c r="L137" s="42" t="n"/>
      <c r="M137" s="43" t="n"/>
      <c r="N137" s="42" t="n"/>
      <c r="O137" s="42" t="n"/>
    </row>
    <row r="138" ht="15" customHeight="1" s="24">
      <c r="A138" s="41" t="inlineStr">
        <is>
          <t>ADM-35</t>
        </is>
      </c>
      <c r="B138" s="41" t="inlineStr">
        <is>
          <t>Admissions</t>
        </is>
      </c>
      <c r="C138" s="41" t="inlineStr">
        <is>
          <t>Enrol</t>
        </is>
      </c>
      <c r="D138" s="41" t="inlineStr">
        <is>
          <t>Functional</t>
        </is>
      </c>
      <c r="E138" s="41" t="inlineStr">
        <is>
          <t>Medium</t>
        </is>
      </c>
      <c r="F138" s="41" t="inlineStr">
        <is>
          <t>Admin</t>
        </is>
      </c>
      <c r="G138" s="41" t="n"/>
      <c r="H138" s="41" t="inlineStr">
        <is>
          <t>Use 'Search another parent...' and select one</t>
        </is>
      </c>
      <c r="I138" s="41" t="inlineStr">
        <is>
          <t>Search lists all parents; selecting sets the decision</t>
        </is>
      </c>
      <c r="J138" s="42" t="n"/>
      <c r="K138" s="42" t="inlineStr">
        <is>
          <t>Not Run</t>
        </is>
      </c>
      <c r="L138" s="42" t="n"/>
      <c r="M138" s="43" t="n"/>
      <c r="N138" s="42" t="n"/>
      <c r="O138" s="42" t="n"/>
    </row>
    <row r="139" ht="23.25" customHeight="1" s="24">
      <c r="A139" s="41" t="inlineStr">
        <is>
          <t>ADM-36</t>
        </is>
      </c>
      <c r="B139" s="41" t="inlineStr">
        <is>
          <t>Admissions</t>
        </is>
      </c>
      <c r="C139" s="41" t="inlineStr">
        <is>
          <t>Enrol</t>
        </is>
      </c>
      <c r="D139" s="41" t="inlineStr">
        <is>
          <t>Functional</t>
        </is>
      </c>
      <c r="E139" s="41" t="inlineStr">
        <is>
          <t>High</t>
        </is>
      </c>
      <c r="F139" s="41" t="inlineStr">
        <is>
          <t>Admin</t>
        </is>
      </c>
      <c r="G139" s="41" t="n"/>
      <c r="H139" s="41" t="inlineStr">
        <is>
          <t>Leave roll number and admission number BLANK; set date and class (Active classes only)</t>
        </is>
      </c>
      <c r="I139" s="41" t="inlineStr">
        <is>
          <t>Accepted; the student gets a roll number like 5A001 and an admission number like ADM-2026-0001</t>
        </is>
      </c>
      <c r="J139" s="42" t="n"/>
      <c r="K139" s="42" t="inlineStr">
        <is>
          <t>Not Run</t>
        </is>
      </c>
      <c r="L139" s="42" t="n"/>
      <c r="M139" s="43" t="n"/>
      <c r="N139" s="42" t="n"/>
      <c r="O139" s="42" t="inlineStr">
        <is>
          <t>Reworded Oct 16</t>
        </is>
      </c>
    </row>
    <row r="140" ht="15" customHeight="1" s="24">
      <c r="A140" s="41" t="inlineStr">
        <is>
          <t>ADM-37</t>
        </is>
      </c>
      <c r="B140" s="41" t="inlineStr">
        <is>
          <t>Admissions</t>
        </is>
      </c>
      <c r="C140" s="41" t="inlineStr">
        <is>
          <t>Enrol</t>
        </is>
      </c>
      <c r="D140" s="41" t="inlineStr">
        <is>
          <t>Negative</t>
        </is>
      </c>
      <c r="E140" s="41" t="inlineStr">
        <is>
          <t>High</t>
        </is>
      </c>
      <c r="F140" s="41" t="inlineStr">
        <is>
          <t>Admin</t>
        </is>
      </c>
      <c r="G140" s="41" t="inlineStr">
        <is>
          <t>Roll number typed by hand that is already used in that class</t>
        </is>
      </c>
      <c r="H140" s="41" t="inlineStr">
        <is>
          <t>Type that roll number and submit</t>
        </is>
      </c>
      <c r="I140" s="41" t="inlineStr">
        <is>
          <t>Error 'already taken'</t>
        </is>
      </c>
      <c r="J140" s="42" t="n"/>
      <c r="K140" s="42" t="inlineStr">
        <is>
          <t>Not Run</t>
        </is>
      </c>
      <c r="L140" s="42" t="n"/>
      <c r="M140" s="43" t="n"/>
      <c r="N140" s="42" t="n"/>
      <c r="O140" s="42" t="inlineStr">
        <is>
          <t>Reworded Oct 16</t>
        </is>
      </c>
    </row>
    <row r="141" ht="15" customHeight="1" s="24">
      <c r="A141" s="41" t="inlineStr">
        <is>
          <t>ADM-38</t>
        </is>
      </c>
      <c r="B141" s="41" t="inlineStr">
        <is>
          <t>Admissions</t>
        </is>
      </c>
      <c r="C141" s="41" t="inlineStr">
        <is>
          <t>Enrol</t>
        </is>
      </c>
      <c r="D141" s="41" t="inlineStr">
        <is>
          <t>Negative</t>
        </is>
      </c>
      <c r="E141" s="41" t="inlineStr">
        <is>
          <t>High</t>
        </is>
      </c>
      <c r="F141" s="41" t="inlineStr">
        <is>
          <t>Admin</t>
        </is>
      </c>
      <c r="G141" s="41" t="inlineStr">
        <is>
          <t>Class at capacity</t>
        </is>
      </c>
      <c r="H141" s="41" t="inlineStr">
        <is>
          <t>Submit</t>
        </is>
      </c>
      <c r="I141" s="41" t="inlineStr">
        <is>
          <t>Error 'is full (n/n)'</t>
        </is>
      </c>
      <c r="J141" s="42" t="n"/>
      <c r="K141" s="42" t="inlineStr">
        <is>
          <t>Not Run</t>
        </is>
      </c>
      <c r="L141" s="42" t="n"/>
      <c r="M141" s="43" t="n"/>
      <c r="N141" s="42" t="n"/>
      <c r="O141" s="42" t="n"/>
    </row>
    <row r="142" ht="23.25" customHeight="1" s="24">
      <c r="A142" s="41" t="inlineStr">
        <is>
          <t>ADM-39</t>
        </is>
      </c>
      <c r="B142" s="41" t="inlineStr">
        <is>
          <t>Admissions</t>
        </is>
      </c>
      <c r="C142" s="41" t="inlineStr">
        <is>
          <t>Enrol</t>
        </is>
      </c>
      <c r="D142" s="41" t="inlineStr">
        <is>
          <t>Functional</t>
        </is>
      </c>
      <c r="E142" s="41" t="inlineStr">
        <is>
          <t>High</t>
        </is>
      </c>
      <c r="F142" s="41" t="inlineStr">
        <is>
          <t>Admin</t>
        </is>
      </c>
      <c r="G142" s="41" t="n"/>
      <c r="H142" s="41" t="inlineStr">
        <is>
          <t>Submit a valid enrolment</t>
        </is>
      </c>
      <c r="I142" s="41" t="inlineStr">
        <is>
          <t>Application becomes Enrolled; student appears in Students; new parents appear if Create new was chosen</t>
        </is>
      </c>
      <c r="J142" s="42" t="n"/>
      <c r="K142" s="42" t="inlineStr">
        <is>
          <t>Not Run</t>
        </is>
      </c>
      <c r="L142" s="42" t="n"/>
      <c r="M142" s="43" t="n"/>
      <c r="N142" s="42" t="n"/>
      <c r="O142" s="42" t="n"/>
    </row>
    <row r="143" ht="15" customHeight="1" s="24">
      <c r="A143" s="41" t="inlineStr">
        <is>
          <t>ADM-40</t>
        </is>
      </c>
      <c r="B143" s="41" t="inlineStr">
        <is>
          <t>Admissions</t>
        </is>
      </c>
      <c r="C143" s="41" t="inlineStr">
        <is>
          <t>Enrol</t>
        </is>
      </c>
      <c r="D143" s="41" t="inlineStr">
        <is>
          <t>Negative</t>
        </is>
      </c>
      <c r="E143" s="41" t="inlineStr">
        <is>
          <t>High</t>
        </is>
      </c>
      <c r="F143" s="41" t="inlineStr">
        <is>
          <t>Admin</t>
        </is>
      </c>
      <c r="G143" s="41" t="n"/>
      <c r="H143" s="41" t="inlineStr">
        <is>
          <t>Stop the API / cut network, then submit</t>
        </is>
      </c>
      <c r="I143" s="41" t="inlineStr">
        <is>
          <t>Error shown; NO partial student or parent created</t>
        </is>
      </c>
      <c r="J143" s="42" t="n"/>
      <c r="K143" s="42" t="inlineStr">
        <is>
          <t>Not Run</t>
        </is>
      </c>
      <c r="L143" s="42" t="n"/>
      <c r="M143" s="43" t="n"/>
      <c r="N143" s="42" t="n"/>
      <c r="O143" s="42" t="n"/>
    </row>
    <row r="144" ht="15" customHeight="1" s="24">
      <c r="A144" s="41" t="inlineStr">
        <is>
          <t>ADM-41</t>
        </is>
      </c>
      <c r="B144" s="41" t="inlineStr">
        <is>
          <t>Admissions</t>
        </is>
      </c>
      <c r="C144" s="41" t="inlineStr">
        <is>
          <t>Enrol</t>
        </is>
      </c>
      <c r="D144" s="41" t="inlineStr">
        <is>
          <t>Negative</t>
        </is>
      </c>
      <c r="E144" s="41" t="inlineStr">
        <is>
          <t>Medium</t>
        </is>
      </c>
      <c r="F144" s="41" t="inlineStr">
        <is>
          <t>Admin</t>
        </is>
      </c>
      <c r="G144" s="41" t="n"/>
      <c r="H144" s="41" t="inlineStr">
        <is>
          <t>Double-click the Enrol button</t>
        </is>
      </c>
      <c r="I144" s="41" t="inlineStr">
        <is>
          <t>Only one student created</t>
        </is>
      </c>
      <c r="J144" s="42" t="n"/>
      <c r="K144" s="42" t="inlineStr">
        <is>
          <t>Not Run</t>
        </is>
      </c>
      <c r="L144" s="42" t="n"/>
      <c r="M144" s="43" t="n"/>
      <c r="N144" s="42" t="n"/>
      <c r="O144" s="42" t="n"/>
    </row>
    <row r="145" ht="15" customHeight="1" s="24">
      <c r="A145" s="41" t="inlineStr">
        <is>
          <t>STU-01</t>
        </is>
      </c>
      <c r="B145" s="41" t="inlineStr">
        <is>
          <t>Students</t>
        </is>
      </c>
      <c r="C145" s="41" t="inlineStr">
        <is>
          <t>List</t>
        </is>
      </c>
      <c r="D145" s="41" t="inlineStr">
        <is>
          <t>Functional</t>
        </is>
      </c>
      <c r="E145" s="41" t="inlineStr">
        <is>
          <t>High</t>
        </is>
      </c>
      <c r="F145" s="41" t="inlineStr">
        <is>
          <t>Admin</t>
        </is>
      </c>
      <c r="G145" s="41" t="n"/>
      <c r="H145" s="41" t="inlineStr">
        <is>
          <t>Open Students</t>
        </is>
      </c>
      <c r="I145" s="41" t="inlineStr">
        <is>
          <t>Tabs All, Active, Inactive, Left with counts</t>
        </is>
      </c>
      <c r="J145" s="42" t="n"/>
      <c r="K145" s="42" t="inlineStr">
        <is>
          <t>Not Run</t>
        </is>
      </c>
      <c r="L145" s="42" t="n"/>
      <c r="M145" s="43" t="n"/>
      <c r="N145" s="42" t="n"/>
      <c r="O145" s="42" t="n"/>
    </row>
    <row r="146" ht="15" customHeight="1" s="24">
      <c r="A146" s="41" t="inlineStr">
        <is>
          <t>STU-02</t>
        </is>
      </c>
      <c r="B146" s="41" t="inlineStr">
        <is>
          <t>Students</t>
        </is>
      </c>
      <c r="C146" s="41" t="inlineStr">
        <is>
          <t>List</t>
        </is>
      </c>
      <c r="D146" s="41" t="inlineStr">
        <is>
          <t>Functional</t>
        </is>
      </c>
      <c r="E146" s="41" t="inlineStr">
        <is>
          <t>Medium</t>
        </is>
      </c>
      <c r="F146" s="41" t="inlineStr">
        <is>
          <t>Admin</t>
        </is>
      </c>
      <c r="G146" s="41" t="n"/>
      <c r="H146" s="41" t="inlineStr">
        <is>
          <t>Filters: Class, Gender, Curriculum, House, has allergies</t>
        </is>
      </c>
      <c r="I146" s="41" t="inlineStr">
        <is>
          <t>Work and combine; allergy filter uses health data (no English-level filter any more)</t>
        </is>
      </c>
      <c r="J146" s="42" t="n"/>
      <c r="K146" s="42" t="inlineStr">
        <is>
          <t>Not Run</t>
        </is>
      </c>
      <c r="L146" s="42" t="n"/>
      <c r="M146" s="43" t="n"/>
      <c r="N146" s="42" t="n"/>
      <c r="O146" s="42" t="inlineStr">
        <is>
          <t>Reworded Oct 15</t>
        </is>
      </c>
    </row>
    <row r="147" ht="15" customHeight="1" s="24">
      <c r="A147" s="41" t="inlineStr">
        <is>
          <t>STU-03</t>
        </is>
      </c>
      <c r="B147" s="41" t="inlineStr">
        <is>
          <t>Students</t>
        </is>
      </c>
      <c r="C147" s="41" t="inlineStr">
        <is>
          <t>List</t>
        </is>
      </c>
      <c r="D147" s="41" t="inlineStr">
        <is>
          <t>Functional</t>
        </is>
      </c>
      <c r="E147" s="41" t="inlineStr">
        <is>
          <t>Medium</t>
        </is>
      </c>
      <c r="F147" s="41" t="inlineStr">
        <is>
          <t>Admin</t>
        </is>
      </c>
      <c r="G147" s="41" t="n"/>
      <c r="H147" s="41" t="inlineStr">
        <is>
          <t>Search (header + quick search)</t>
        </is>
      </c>
      <c r="I147" s="41" t="inlineStr">
        <is>
          <t>Filters by name / admission number</t>
        </is>
      </c>
      <c r="J147" s="42" t="n"/>
      <c r="K147" s="42" t="inlineStr">
        <is>
          <t>Not Run</t>
        </is>
      </c>
      <c r="L147" s="42" t="n"/>
      <c r="M147" s="43" t="n"/>
      <c r="N147" s="42" t="n"/>
      <c r="O147" s="42" t="n"/>
    </row>
    <row r="148" ht="23.25" customHeight="1" s="24">
      <c r="A148" s="41" t="inlineStr">
        <is>
          <t>STU-04</t>
        </is>
      </c>
      <c r="B148" s="41" t="inlineStr">
        <is>
          <t>Students</t>
        </is>
      </c>
      <c r="C148" s="41" t="inlineStr">
        <is>
          <t>List</t>
        </is>
      </c>
      <c r="D148" s="41" t="inlineStr">
        <is>
          <t>UI</t>
        </is>
      </c>
      <c r="E148" s="41" t="inlineStr">
        <is>
          <t>Low</t>
        </is>
      </c>
      <c r="F148" s="41" t="inlineStr">
        <is>
          <t>Admin</t>
        </is>
      </c>
      <c r="G148" s="41" t="n"/>
      <c r="H148" s="41" t="inlineStr">
        <is>
          <t>Hover the row actions</t>
        </is>
      </c>
      <c r="I148" s="41" t="inlineStr">
        <is>
          <t>View, Fee Summary, Attendance Report, Report Card, Linked Parents, Academic History, Edit, Mark as left (no Delete)</t>
        </is>
      </c>
      <c r="J148" s="42" t="n"/>
      <c r="K148" s="42" t="inlineStr">
        <is>
          <t>Not Run</t>
        </is>
      </c>
      <c r="L148" s="42" t="n"/>
      <c r="M148" s="43" t="n"/>
      <c r="N148" s="42" t="n"/>
      <c r="O148" s="42" t="inlineStr">
        <is>
          <t>Reworded Oct 15</t>
        </is>
      </c>
    </row>
    <row r="149" ht="15" customHeight="1" s="24">
      <c r="A149" s="41" t="inlineStr">
        <is>
          <t>STU-05</t>
        </is>
      </c>
      <c r="B149" s="41" t="inlineStr">
        <is>
          <t>Students</t>
        </is>
      </c>
      <c r="C149" s="41" t="inlineStr">
        <is>
          <t>List</t>
        </is>
      </c>
      <c r="D149" s="41" t="inlineStr">
        <is>
          <t>UI</t>
        </is>
      </c>
      <c r="E149" s="41" t="inlineStr">
        <is>
          <t>Low</t>
        </is>
      </c>
      <c r="F149" s="41" t="inlineStr">
        <is>
          <t>Admin</t>
        </is>
      </c>
      <c r="G149" s="41" t="n"/>
      <c r="H149" s="41" t="inlineStr">
        <is>
          <t>Click Fee Summary / Attendance Report / Report Card</t>
        </is>
      </c>
      <c r="I149" s="41" t="inlineStr">
        <is>
          <t>'Not yet available' modal naming the missing module</t>
        </is>
      </c>
      <c r="J149" s="42" t="n"/>
      <c r="K149" s="42" t="inlineStr">
        <is>
          <t>Not Run</t>
        </is>
      </c>
      <c r="L149" s="42" t="n"/>
      <c r="M149" s="43" t="n"/>
      <c r="N149" s="42" t="n"/>
      <c r="O149" s="42" t="n"/>
    </row>
    <row r="150" ht="15" customHeight="1" s="24">
      <c r="A150" s="41" t="inlineStr">
        <is>
          <t>STU-06</t>
        </is>
      </c>
      <c r="B150" s="41" t="inlineStr">
        <is>
          <t>Students</t>
        </is>
      </c>
      <c r="C150" s="41" t="inlineStr">
        <is>
          <t>List</t>
        </is>
      </c>
      <c r="D150" s="41" t="inlineStr">
        <is>
          <t>Functional</t>
        </is>
      </c>
      <c r="E150" s="41" t="inlineStr">
        <is>
          <t>Medium</t>
        </is>
      </c>
      <c r="F150" s="41" t="inlineStr">
        <is>
          <t>Admin</t>
        </is>
      </c>
      <c r="G150" s="41" t="n"/>
      <c r="H150" s="41" t="inlineStr">
        <is>
          <t>Export CSV</t>
        </is>
      </c>
      <c r="I150" s="41" t="inlineStr">
        <is>
          <t>Correct columns</t>
        </is>
      </c>
      <c r="J150" s="42" t="n"/>
      <c r="K150" s="42" t="inlineStr">
        <is>
          <t>Not Run</t>
        </is>
      </c>
      <c r="L150" s="42" t="n"/>
      <c r="M150" s="43" t="n"/>
      <c r="N150" s="42" t="n"/>
      <c r="O150" s="42" t="n"/>
    </row>
    <row r="151" ht="15" customHeight="1" s="24">
      <c r="A151" s="41" t="inlineStr">
        <is>
          <t>STU-07</t>
        </is>
      </c>
      <c r="B151" s="41" t="inlineStr">
        <is>
          <t>Students</t>
        </is>
      </c>
      <c r="C151" s="41" t="inlineStr">
        <is>
          <t>List</t>
        </is>
      </c>
      <c r="D151" s="41" t="inlineStr">
        <is>
          <t>Functional</t>
        </is>
      </c>
      <c r="E151" s="41" t="inlineStr">
        <is>
          <t>Medium</t>
        </is>
      </c>
      <c r="F151" s="41" t="inlineStr">
        <is>
          <t>Admin</t>
        </is>
      </c>
      <c r="G151" s="41" t="inlineStr">
        <is>
          <t>A Left student</t>
        </is>
      </c>
      <c r="H151" s="41" t="inlineStr">
        <is>
          <t>Check tabs</t>
        </is>
      </c>
      <c r="I151" s="41" t="inlineStr">
        <is>
          <t>Left students shown under All and Left only, with a purple badge</t>
        </is>
      </c>
      <c r="J151" s="42" t="n"/>
      <c r="K151" s="42" t="inlineStr">
        <is>
          <t>Not Run</t>
        </is>
      </c>
      <c r="L151" s="42" t="n"/>
      <c r="M151" s="43" t="n"/>
      <c r="N151" s="42" t="n"/>
      <c r="O151" s="42" t="n"/>
    </row>
    <row r="152" ht="23.25" customHeight="1" s="24">
      <c r="A152" s="41" t="inlineStr">
        <is>
          <t>STU-10</t>
        </is>
      </c>
      <c r="B152" s="41" t="inlineStr">
        <is>
          <t>Students</t>
        </is>
      </c>
      <c r="C152" s="41" t="inlineStr">
        <is>
          <t>View</t>
        </is>
      </c>
      <c r="D152" s="41" t="inlineStr">
        <is>
          <t>Functional</t>
        </is>
      </c>
      <c r="E152" s="41" t="inlineStr">
        <is>
          <t>High</t>
        </is>
      </c>
      <c r="F152" s="41" t="inlineStr">
        <is>
          <t>Admin</t>
        </is>
      </c>
      <c r="G152" s="41" t="inlineStr">
        <is>
          <t>Student enrolled via admission</t>
        </is>
      </c>
      <c r="H152" s="41" t="inlineStr">
        <is>
          <t>Open View</t>
        </is>
      </c>
      <c r="I152" s="41" t="inlineStr">
        <is>
          <t>Sections Basics, Academic, Health, Parents etc. filled; blood group from health</t>
        </is>
      </c>
      <c r="J152" s="42" t="n"/>
      <c r="K152" s="42" t="inlineStr">
        <is>
          <t>Not Run</t>
        </is>
      </c>
      <c r="L152" s="42" t="n"/>
      <c r="M152" s="43" t="n"/>
      <c r="N152" s="42" t="n"/>
      <c r="O152" s="42" t="n"/>
    </row>
    <row r="153" ht="15" customHeight="1" s="24">
      <c r="A153" s="41" t="inlineStr">
        <is>
          <t>STU-11</t>
        </is>
      </c>
      <c r="B153" s="41" t="inlineStr">
        <is>
          <t>Students</t>
        </is>
      </c>
      <c r="C153" s="41" t="inlineStr">
        <is>
          <t>Edit</t>
        </is>
      </c>
      <c r="D153" s="41" t="inlineStr">
        <is>
          <t>Functional</t>
        </is>
      </c>
      <c r="E153" s="41" t="inlineStr">
        <is>
          <t>High</t>
        </is>
      </c>
      <c r="F153" s="41" t="inlineStr">
        <is>
          <t>Admin</t>
        </is>
      </c>
      <c r="G153" s="41" t="n"/>
      <c r="H153" s="41" t="inlineStr">
        <is>
          <t>Open Edit</t>
        </is>
      </c>
      <c r="I153" s="41" t="inlineStr">
        <is>
          <t>All sections load (health, pickup persons, identity)</t>
        </is>
      </c>
      <c r="J153" s="42" t="n"/>
      <c r="K153" s="42" t="inlineStr">
        <is>
          <t>Not Run</t>
        </is>
      </c>
      <c r="L153" s="42" t="n"/>
      <c r="M153" s="43" t="n"/>
      <c r="N153" s="42" t="n"/>
      <c r="O153" s="42" t="n"/>
    </row>
    <row r="154" ht="15" customHeight="1" s="24">
      <c r="A154" s="41" t="inlineStr">
        <is>
          <t>STU-12</t>
        </is>
      </c>
      <c r="B154" s="41" t="inlineStr">
        <is>
          <t>Students</t>
        </is>
      </c>
      <c r="C154" s="41" t="inlineStr">
        <is>
          <t>Edit</t>
        </is>
      </c>
      <c r="D154" s="41" t="inlineStr">
        <is>
          <t>Functional</t>
        </is>
      </c>
      <c r="E154" s="41" t="inlineStr">
        <is>
          <t>High</t>
        </is>
      </c>
      <c r="F154" s="41" t="inlineStr">
        <is>
          <t>Admin</t>
        </is>
      </c>
      <c r="G154" s="41" t="n"/>
      <c r="H154" s="41" t="inlineStr">
        <is>
          <t>Change personal data and Save</t>
        </is>
      </c>
      <c r="I154" s="41" t="inlineStr">
        <is>
          <t>Reflected in list and view</t>
        </is>
      </c>
      <c r="J154" s="42" t="n"/>
      <c r="K154" s="42" t="inlineStr">
        <is>
          <t>Not Run</t>
        </is>
      </c>
      <c r="L154" s="42" t="n"/>
      <c r="M154" s="43" t="n"/>
      <c r="N154" s="42" t="n"/>
      <c r="O154" s="42" t="n"/>
    </row>
    <row r="155" ht="15" customHeight="1" s="24">
      <c r="A155" s="41" t="inlineStr">
        <is>
          <t>STU-13</t>
        </is>
      </c>
      <c r="B155" s="41" t="inlineStr">
        <is>
          <t>Students</t>
        </is>
      </c>
      <c r="C155" s="41" t="inlineStr">
        <is>
          <t>Edit</t>
        </is>
      </c>
      <c r="D155" s="41" t="inlineStr">
        <is>
          <t>UI</t>
        </is>
      </c>
      <c r="E155" s="41" t="inlineStr">
        <is>
          <t>Medium</t>
        </is>
      </c>
      <c r="F155" s="41" t="inlineStr">
        <is>
          <t>Admin</t>
        </is>
      </c>
      <c r="G155" s="41" t="n"/>
      <c r="H155" s="41" t="inlineStr">
        <is>
          <t>Look at the Parents/Guardians section in the modal</t>
        </is>
      </c>
      <c r="I155" s="41" t="inlineStr">
        <is>
          <t>Read-only, with hint to manage links from Parents</t>
        </is>
      </c>
      <c r="J155" s="42" t="n"/>
      <c r="K155" s="42" t="inlineStr">
        <is>
          <t>Not Run</t>
        </is>
      </c>
      <c r="L155" s="42" t="n"/>
      <c r="M155" s="43" t="n"/>
      <c r="N155" s="42" t="n"/>
      <c r="O155" s="42" t="n"/>
    </row>
    <row r="156" ht="15" customHeight="1" s="24">
      <c r="A156" s="41" t="inlineStr">
        <is>
          <t>STU-14</t>
        </is>
      </c>
      <c r="B156" s="41" t="inlineStr">
        <is>
          <t>Students</t>
        </is>
      </c>
      <c r="C156" s="41" t="inlineStr">
        <is>
          <t>Edit</t>
        </is>
      </c>
      <c r="D156" s="41" t="inlineStr">
        <is>
          <t>Functional</t>
        </is>
      </c>
      <c r="E156" s="41" t="inlineStr">
        <is>
          <t>Medium</t>
        </is>
      </c>
      <c r="F156" s="41" t="inlineStr">
        <is>
          <t>Admin</t>
        </is>
      </c>
      <c r="G156" s="41" t="n"/>
      <c r="H156" s="41" t="inlineStr">
        <is>
          <t>Add two pickup persons (name, relation, phone, ID note)</t>
        </is>
      </c>
      <c r="I156" s="41" t="inlineStr">
        <is>
          <t>Saved; shown on reopen</t>
        </is>
      </c>
      <c r="J156" s="42" t="n"/>
      <c r="K156" s="42" t="inlineStr">
        <is>
          <t>Not Run</t>
        </is>
      </c>
      <c r="L156" s="42" t="n"/>
      <c r="M156" s="43" t="n"/>
      <c r="N156" s="42" t="n"/>
      <c r="O156" s="42" t="n"/>
    </row>
    <row r="157" ht="15" customHeight="1" s="24">
      <c r="A157" s="41" t="inlineStr">
        <is>
          <t>STU-15</t>
        </is>
      </c>
      <c r="B157" s="41" t="inlineStr">
        <is>
          <t>Students</t>
        </is>
      </c>
      <c r="C157" s="41" t="inlineStr">
        <is>
          <t>Edit</t>
        </is>
      </c>
      <c r="D157" s="41" t="inlineStr">
        <is>
          <t>Validation</t>
        </is>
      </c>
      <c r="E157" s="41" t="inlineStr">
        <is>
          <t>Medium</t>
        </is>
      </c>
      <c r="F157" s="41" t="inlineStr">
        <is>
          <t>Admin</t>
        </is>
      </c>
      <c r="G157" s="41" t="n"/>
      <c r="H157" s="41" t="inlineStr">
        <is>
          <t>Invalid phone on a pickup person</t>
        </is>
      </c>
      <c r="I157" s="41" t="inlineStr">
        <is>
          <t>Validation message</t>
        </is>
      </c>
      <c r="J157" s="42" t="n"/>
      <c r="K157" s="42" t="inlineStr">
        <is>
          <t>Not Run</t>
        </is>
      </c>
      <c r="L157" s="42" t="n"/>
      <c r="M157" s="43" t="n"/>
      <c r="N157" s="42" t="n"/>
      <c r="O157" s="42" t="n"/>
    </row>
    <row r="158" ht="15" customHeight="1" s="24">
      <c r="A158" s="41" t="inlineStr">
        <is>
          <t>STU-16</t>
        </is>
      </c>
      <c r="B158" s="41" t="inlineStr">
        <is>
          <t>Students</t>
        </is>
      </c>
      <c r="C158" s="41" t="inlineStr">
        <is>
          <t>Edit</t>
        </is>
      </c>
      <c r="D158" s="41" t="inlineStr">
        <is>
          <t>Functional</t>
        </is>
      </c>
      <c r="E158" s="41" t="inlineStr">
        <is>
          <t>Low</t>
        </is>
      </c>
      <c r="F158" s="41" t="inlineStr">
        <is>
          <t>Admin</t>
        </is>
      </c>
      <c r="G158" s="41" t="n"/>
      <c r="H158" s="41" t="inlineStr">
        <is>
          <t>Remove all pickup persons and save</t>
        </is>
      </c>
      <c r="I158" s="41" t="inlineStr">
        <is>
          <t>Gone on reopen</t>
        </is>
      </c>
      <c r="J158" s="42" t="n"/>
      <c r="K158" s="42" t="inlineStr">
        <is>
          <t>Not Run</t>
        </is>
      </c>
      <c r="L158" s="42" t="n"/>
      <c r="M158" s="43" t="n"/>
      <c r="N158" s="42" t="n"/>
      <c r="O158" s="42" t="n"/>
    </row>
    <row r="159" ht="15" customHeight="1" s="24">
      <c r="A159" s="41" t="inlineStr">
        <is>
          <t>STU-17</t>
        </is>
      </c>
      <c r="B159" s="41" t="inlineStr">
        <is>
          <t>Students</t>
        </is>
      </c>
      <c r="C159" s="41" t="inlineStr">
        <is>
          <t>Edit</t>
        </is>
      </c>
      <c r="D159" s="41" t="inlineStr">
        <is>
          <t>Functional</t>
        </is>
      </c>
      <c r="E159" s="41" t="inlineStr">
        <is>
          <t>Medium</t>
        </is>
      </c>
      <c r="F159" s="41" t="inlineStr">
        <is>
          <t>Admin</t>
        </is>
      </c>
      <c r="G159" s="41" t="n"/>
      <c r="H159" s="41" t="inlineStr">
        <is>
          <t>Fill health (blood group, allergies, notes)</t>
        </is>
      </c>
      <c r="I159" s="41" t="inlineStr">
        <is>
          <t>Saved; allergy chip/filter works</t>
        </is>
      </c>
      <c r="J159" s="42" t="n"/>
      <c r="K159" s="42" t="inlineStr">
        <is>
          <t>Not Run</t>
        </is>
      </c>
      <c r="L159" s="42" t="n"/>
      <c r="M159" s="43" t="n"/>
      <c r="N159" s="42" t="n"/>
      <c r="O159" s="42" t="n"/>
    </row>
    <row r="160" ht="15" customHeight="1" s="24">
      <c r="A160" s="41" t="inlineStr">
        <is>
          <t>STU-18</t>
        </is>
      </c>
      <c r="B160" s="41" t="inlineStr">
        <is>
          <t>Students</t>
        </is>
      </c>
      <c r="C160" s="41" t="inlineStr">
        <is>
          <t>Identity</t>
        </is>
      </c>
      <c r="D160" s="41" t="inlineStr">
        <is>
          <t>Security</t>
        </is>
      </c>
      <c r="E160" s="41" t="inlineStr">
        <is>
          <t>High</t>
        </is>
      </c>
      <c r="F160" s="41" t="inlineStr">
        <is>
          <t>Admin</t>
        </is>
      </c>
      <c r="G160" s="41" t="n"/>
      <c r="H160" s="41" t="inlineStr">
        <is>
          <t>Open Identity Documents as Admin</t>
        </is>
      </c>
      <c r="I160" s="41" t="inlineStr">
        <is>
          <t>Editable; full values on reopen</t>
        </is>
      </c>
      <c r="J160" s="42" t="n"/>
      <c r="K160" s="42" t="inlineStr">
        <is>
          <t>Not Run</t>
        </is>
      </c>
      <c r="L160" s="42" t="n"/>
      <c r="M160" s="43" t="n"/>
      <c r="N160" s="42" t="n"/>
      <c r="O160" s="42" t="n"/>
    </row>
    <row r="161" ht="15" customHeight="1" s="24">
      <c r="A161" s="41" t="inlineStr">
        <is>
          <t>STU-19</t>
        </is>
      </c>
      <c r="B161" s="41" t="inlineStr">
        <is>
          <t>Students</t>
        </is>
      </c>
      <c r="C161" s="41" t="inlineStr">
        <is>
          <t>Identity</t>
        </is>
      </c>
      <c r="D161" s="41" t="inlineStr">
        <is>
          <t>Security</t>
        </is>
      </c>
      <c r="E161" s="41" t="inlineStr">
        <is>
          <t>High</t>
        </is>
      </c>
      <c r="F161" s="41" t="inlineStr">
        <is>
          <t>Clerk</t>
        </is>
      </c>
      <c r="G161" s="41" t="n"/>
      <c r="H161" s="41" t="inlineStr">
        <is>
          <t>Open the same student as Clerk</t>
        </is>
      </c>
      <c r="I161" s="41" t="inlineStr">
        <is>
          <t>Values masked (e.g. ********9012); fields NOT editable</t>
        </is>
      </c>
      <c r="J161" s="42" t="n"/>
      <c r="K161" s="42" t="inlineStr">
        <is>
          <t>Not Run</t>
        </is>
      </c>
      <c r="L161" s="42" t="n"/>
      <c r="M161" s="43" t="n"/>
      <c r="N161" s="42" t="n"/>
      <c r="O161" s="42" t="n"/>
    </row>
    <row r="162" ht="15" customHeight="1" s="24">
      <c r="A162" s="41" t="inlineStr">
        <is>
          <t>STU-20</t>
        </is>
      </c>
      <c r="B162" s="41" t="inlineStr">
        <is>
          <t>Students</t>
        </is>
      </c>
      <c r="C162" s="41" t="inlineStr">
        <is>
          <t>Identity</t>
        </is>
      </c>
      <c r="D162" s="41" t="inlineStr">
        <is>
          <t>Validation</t>
        </is>
      </c>
      <c r="E162" s="41" t="inlineStr">
        <is>
          <t>Medium</t>
        </is>
      </c>
      <c r="F162" s="41" t="inlineStr">
        <is>
          <t>Admin</t>
        </is>
      </c>
      <c r="G162" s="41" t="n"/>
      <c r="H162" s="41" t="inlineStr">
        <is>
          <t>Aadhaar not 12 digits</t>
        </is>
      </c>
      <c r="I162" s="41" t="inlineStr">
        <is>
          <t>Message</t>
        </is>
      </c>
      <c r="J162" s="42" t="n"/>
      <c r="K162" s="42" t="inlineStr">
        <is>
          <t>Not Run</t>
        </is>
      </c>
      <c r="L162" s="42" t="n"/>
      <c r="M162" s="43" t="n"/>
      <c r="N162" s="42" t="n"/>
      <c r="O162" s="42" t="n"/>
    </row>
    <row r="163" ht="15" customHeight="1" s="24">
      <c r="A163" s="41" t="inlineStr">
        <is>
          <t>STU-21</t>
        </is>
      </c>
      <c r="B163" s="41" t="inlineStr">
        <is>
          <t>Students</t>
        </is>
      </c>
      <c r="C163" s="41" t="inlineStr">
        <is>
          <t>Identity</t>
        </is>
      </c>
      <c r="D163" s="41" t="inlineStr">
        <is>
          <t>Negative</t>
        </is>
      </c>
      <c r="E163" s="41" t="inlineStr">
        <is>
          <t>Medium</t>
        </is>
      </c>
      <c r="F163" s="41" t="inlineStr">
        <is>
          <t>Admin</t>
        </is>
      </c>
      <c r="G163" s="41" t="inlineStr">
        <is>
          <t>Aadhaar used by another student</t>
        </is>
      </c>
      <c r="H163" s="41" t="inlineStr">
        <is>
          <t>Save the same Aadhaar on a second student</t>
        </is>
      </c>
      <c r="I163" s="41" t="inlineStr">
        <is>
          <t>Error 'already recorded for another student'</t>
        </is>
      </c>
      <c r="J163" s="42" t="n"/>
      <c r="K163" s="42" t="inlineStr">
        <is>
          <t>Not Run</t>
        </is>
      </c>
      <c r="L163" s="42" t="n"/>
      <c r="M163" s="43" t="n"/>
      <c r="N163" s="42" t="n"/>
      <c r="O163" s="42" t="n"/>
    </row>
    <row r="164" ht="15" customHeight="1" s="24">
      <c r="A164" s="41" t="inlineStr">
        <is>
          <t>STU-22</t>
        </is>
      </c>
      <c r="B164" s="41" t="inlineStr">
        <is>
          <t>Students</t>
        </is>
      </c>
      <c r="C164" s="41" t="inlineStr">
        <is>
          <t>Create (via enrolment)</t>
        </is>
      </c>
      <c r="D164" s="41" t="inlineStr">
        <is>
          <t>Functional</t>
        </is>
      </c>
      <c r="E164" s="41" t="inlineStr">
        <is>
          <t>High</t>
        </is>
      </c>
      <c r="F164" s="41" t="inlineStr">
        <is>
          <t>Admin</t>
        </is>
      </c>
      <c r="G164" s="41" t="inlineStr">
        <is>
          <t>An application in status Admitted; a class with free seats</t>
        </is>
      </c>
      <c r="H164" s="41" t="inlineStr">
        <is>
          <t>Open the application, choose Enrol; leave roll and admission number blank; choose class and date; add the guardians; confirm</t>
        </is>
      </c>
      <c r="I164" s="41" t="inlineStr">
        <is>
          <t>Student created as Active; roll number (class + section + 3 digits) and admission number (ADM-year-serial) generated; application becomes Enrolled; History tab shows one Active period; parents linked</t>
        </is>
      </c>
      <c r="J164" s="42" t="n"/>
      <c r="K164" s="42" t="inlineStr">
        <is>
          <t>Not Run</t>
        </is>
      </c>
      <c r="L164" s="42" t="n"/>
      <c r="M164" s="43" t="n"/>
      <c r="N164" s="42" t="n"/>
      <c r="O164" s="42" t="inlineStr">
        <is>
          <t>Reworded: there is no Add Student screen; students are created only by enrolling an admission.; Reworded Oct 16</t>
        </is>
      </c>
    </row>
    <row r="165" ht="15" customHeight="1" s="24">
      <c r="A165" s="41" t="inlineStr">
        <is>
          <t>STU-23</t>
        </is>
      </c>
      <c r="B165" s="41" t="inlineStr">
        <is>
          <t>Students</t>
        </is>
      </c>
      <c r="C165" s="41" t="inlineStr">
        <is>
          <t>Create (via enrolment)</t>
        </is>
      </c>
      <c r="D165" s="41" t="inlineStr">
        <is>
          <t>Negative</t>
        </is>
      </c>
      <c r="E165" s="41" t="inlineStr">
        <is>
          <t>High</t>
        </is>
      </c>
      <c r="F165" s="41" t="inlineStr">
        <is>
          <t>Admin</t>
        </is>
      </c>
      <c r="G165" s="41" t="inlineStr">
        <is>
          <t>An existing student; a second Admitted application</t>
        </is>
      </c>
      <c r="H165" s="41" t="inlineStr">
        <is>
          <t>Enrol the application using (a) the existing admission number, then (b) a new admission number but a roll number already used in the same class</t>
        </is>
      </c>
      <c r="I165" s="41" t="inlineStr">
        <is>
          <t>(a) Error: admission number is already used by another student. (b) Error: roll number is already taken in that class. No student is created and the application stays Admitted.</t>
        </is>
      </c>
      <c r="J165" s="42" t="n"/>
      <c r="K165" s="42" t="inlineStr">
        <is>
          <t>Not Run</t>
        </is>
      </c>
      <c r="L165" s="42" t="n"/>
      <c r="M165" s="43" t="n"/>
      <c r="N165" s="42" t="n"/>
      <c r="O165" s="42" t="inlineStr">
        <is>
          <t>Reworded: duplicate checks are tested through Enrol.</t>
        </is>
      </c>
    </row>
    <row r="166" ht="15" customHeight="1" s="24">
      <c r="A166" s="41" t="inlineStr">
        <is>
          <t>STU-24</t>
        </is>
      </c>
      <c r="B166" s="41" t="inlineStr">
        <is>
          <t>Students</t>
        </is>
      </c>
      <c r="C166" s="41" t="inlineStr">
        <is>
          <t>Edit</t>
        </is>
      </c>
      <c r="D166" s="41" t="inlineStr">
        <is>
          <t>UI</t>
        </is>
      </c>
      <c r="E166" s="41" t="inlineStr">
        <is>
          <t>Low</t>
        </is>
      </c>
      <c r="F166" s="41" t="inlineStr">
        <is>
          <t>Admin</t>
        </is>
      </c>
      <c r="G166" s="41" t="n"/>
      <c r="H166" s="41" t="inlineStr">
        <is>
          <t>Open the status options</t>
        </is>
      </c>
      <c r="I166" s="41" t="inlineStr">
        <is>
          <t>Only Active / Inactive / Left</t>
        </is>
      </c>
      <c r="J166" s="42" t="n"/>
      <c r="K166" s="42" t="inlineStr">
        <is>
          <t>Not Run</t>
        </is>
      </c>
      <c r="L166" s="42" t="n"/>
      <c r="M166" s="43" t="n"/>
      <c r="N166" s="42" t="n"/>
      <c r="O166" s="42" t="n"/>
    </row>
    <row r="167" ht="15" customHeight="1" s="24">
      <c r="A167" s="41" t="inlineStr">
        <is>
          <t>STU-25</t>
        </is>
      </c>
      <c r="B167" s="41" t="inlineStr">
        <is>
          <t>Students</t>
        </is>
      </c>
      <c r="C167" s="41" t="inlineStr">
        <is>
          <t>Class move</t>
        </is>
      </c>
      <c r="D167" s="41" t="inlineStr">
        <is>
          <t>Functional</t>
        </is>
      </c>
      <c r="E167" s="41" t="inlineStr">
        <is>
          <t>High</t>
        </is>
      </c>
      <c r="F167" s="41" t="inlineStr">
        <is>
          <t>Admin</t>
        </is>
      </c>
      <c r="G167" s="41" t="inlineStr">
        <is>
          <t>Two classes, same academic year</t>
        </is>
      </c>
      <c r="H167" s="41" t="inlineStr">
        <is>
          <t>Change class in Edit, Save</t>
        </is>
      </c>
      <c r="I167" s="41" t="inlineStr">
        <is>
          <t>List shows new class; History shows Transferred + Active rows</t>
        </is>
      </c>
      <c r="J167" s="42" t="n"/>
      <c r="K167" s="42" t="inlineStr">
        <is>
          <t>Not Run</t>
        </is>
      </c>
      <c r="L167" s="42" t="n"/>
      <c r="M167" s="43" t="n"/>
      <c r="N167" s="42" t="n"/>
      <c r="O167" s="42" t="n"/>
    </row>
    <row r="168" ht="15" customHeight="1" s="24">
      <c r="A168" s="41" t="inlineStr">
        <is>
          <t>STU-26</t>
        </is>
      </c>
      <c r="B168" s="41" t="inlineStr">
        <is>
          <t>Students</t>
        </is>
      </c>
      <c r="C168" s="41" t="inlineStr">
        <is>
          <t>Class move</t>
        </is>
      </c>
      <c r="D168" s="41" t="inlineStr">
        <is>
          <t>Negative</t>
        </is>
      </c>
      <c r="E168" s="41" t="inlineStr">
        <is>
          <t>High</t>
        </is>
      </c>
      <c r="F168" s="41" t="inlineStr">
        <is>
          <t>Admin</t>
        </is>
      </c>
      <c r="G168" s="41" t="n"/>
      <c r="H168" s="41" t="inlineStr">
        <is>
          <t>Move to an inactive or full class</t>
        </is>
      </c>
      <c r="I168" s="41" t="inlineStr">
        <is>
          <t>Error modal</t>
        </is>
      </c>
      <c r="J168" s="42" t="n"/>
      <c r="K168" s="42" t="inlineStr">
        <is>
          <t>Not Run</t>
        </is>
      </c>
      <c r="L168" s="42" t="n"/>
      <c r="M168" s="43" t="n"/>
      <c r="N168" s="42" t="n"/>
      <c r="O168" s="42" t="n"/>
    </row>
    <row r="169" ht="15" customHeight="1" s="24">
      <c r="A169" s="41" t="inlineStr">
        <is>
          <t>STU-27</t>
        </is>
      </c>
      <c r="B169" s="41" t="inlineStr">
        <is>
          <t>Students</t>
        </is>
      </c>
      <c r="C169" s="41" t="inlineStr">
        <is>
          <t>Class move</t>
        </is>
      </c>
      <c r="D169" s="41" t="inlineStr">
        <is>
          <t>Negative</t>
        </is>
      </c>
      <c r="E169" s="41" t="inlineStr">
        <is>
          <t>Medium</t>
        </is>
      </c>
      <c r="F169" s="41" t="inlineStr">
        <is>
          <t>Admin</t>
        </is>
      </c>
      <c r="G169" s="41" t="inlineStr">
        <is>
          <t>Class of another academic year</t>
        </is>
      </c>
      <c r="H169" s="41" t="inlineStr">
        <is>
          <t>Pick it and save</t>
        </is>
      </c>
      <c r="I169" s="41" t="inlineStr">
        <is>
          <t>Error about year-end promotion</t>
        </is>
      </c>
      <c r="J169" s="42" t="n"/>
      <c r="K169" s="42" t="inlineStr">
        <is>
          <t>Not Run</t>
        </is>
      </c>
      <c r="L169" s="42" t="n"/>
      <c r="M169" s="43" t="n"/>
      <c r="N169" s="42" t="n"/>
      <c r="O169" s="42" t="n"/>
    </row>
    <row r="170" ht="15" customHeight="1" s="24">
      <c r="A170" s="41" t="inlineStr">
        <is>
          <t>STU-28</t>
        </is>
      </c>
      <c r="B170" s="41" t="inlineStr">
        <is>
          <t>Students</t>
        </is>
      </c>
      <c r="C170" s="41" t="inlineStr">
        <is>
          <t>Status</t>
        </is>
      </c>
      <c r="D170" s="41" t="inlineStr">
        <is>
          <t>Negative</t>
        </is>
      </c>
      <c r="E170" s="41" t="inlineStr">
        <is>
          <t>High</t>
        </is>
      </c>
      <c r="F170" s="41" t="inlineStr">
        <is>
          <t>Admin</t>
        </is>
      </c>
      <c r="G170" s="41" t="n"/>
      <c r="H170" s="41" t="inlineStr">
        <is>
          <t>Set Left and change class in the same edit</t>
        </is>
      </c>
      <c r="I170" s="41" t="inlineStr">
        <is>
          <t>Error 'cannot be moved ... and marked as Left in the same edit'</t>
        </is>
      </c>
      <c r="J170" s="42" t="n"/>
      <c r="K170" s="42" t="inlineStr">
        <is>
          <t>Not Run</t>
        </is>
      </c>
      <c r="L170" s="42" t="n"/>
      <c r="M170" s="43" t="n"/>
      <c r="N170" s="42" t="n"/>
      <c r="O170" s="42" t="n"/>
    </row>
    <row r="171" ht="15" customHeight="1" s="24">
      <c r="A171" s="41" t="inlineStr">
        <is>
          <t>STU-29</t>
        </is>
      </c>
      <c r="B171" s="41" t="inlineStr">
        <is>
          <t>Students</t>
        </is>
      </c>
      <c r="C171" s="41" t="inlineStr">
        <is>
          <t>Status</t>
        </is>
      </c>
      <c r="D171" s="41" t="inlineStr">
        <is>
          <t>Functional</t>
        </is>
      </c>
      <c r="E171" s="41" t="inlineStr">
        <is>
          <t>High</t>
        </is>
      </c>
      <c r="F171" s="41" t="inlineStr">
        <is>
          <t>Admin</t>
        </is>
      </c>
      <c r="G171" s="41" t="n"/>
      <c r="H171" s="41" t="inlineStr">
        <is>
          <t>Set status Left</t>
        </is>
      </c>
      <c r="I171" s="41" t="inlineStr">
        <is>
          <t>Row moves to Left; History shows a closing 'Left' row</t>
        </is>
      </c>
      <c r="J171" s="42" t="n"/>
      <c r="K171" s="42" t="inlineStr">
        <is>
          <t>Not Run</t>
        </is>
      </c>
      <c r="L171" s="42" t="n"/>
      <c r="M171" s="43" t="n"/>
      <c r="N171" s="42" t="n"/>
      <c r="O171" s="42" t="n"/>
    </row>
    <row r="172" ht="15" customHeight="1" s="24">
      <c r="A172" s="41" t="inlineStr">
        <is>
          <t>STU-30</t>
        </is>
      </c>
      <c r="B172" s="41" t="inlineStr">
        <is>
          <t>Students</t>
        </is>
      </c>
      <c r="C172" s="41" t="inlineStr">
        <is>
          <t>Status</t>
        </is>
      </c>
      <c r="D172" s="41" t="inlineStr">
        <is>
          <t>Functional</t>
        </is>
      </c>
      <c r="E172" s="41" t="inlineStr">
        <is>
          <t>Medium</t>
        </is>
      </c>
      <c r="F172" s="41" t="inlineStr">
        <is>
          <t>Admin</t>
        </is>
      </c>
      <c r="G172" s="41" t="inlineStr">
        <is>
          <t>A Left student</t>
        </is>
      </c>
      <c r="H172" s="41" t="inlineStr">
        <is>
          <t>Set back to Active</t>
        </is>
      </c>
      <c r="I172" s="41" t="inlineStr">
        <is>
          <t>New Active row in History</t>
        </is>
      </c>
      <c r="J172" s="42" t="n"/>
      <c r="K172" s="42" t="inlineStr">
        <is>
          <t>Not Run</t>
        </is>
      </c>
      <c r="L172" s="42" t="n"/>
      <c r="M172" s="43" t="n"/>
      <c r="N172" s="42" t="n"/>
      <c r="O172" s="42" t="n"/>
    </row>
    <row r="173" ht="15" customHeight="1" s="24">
      <c r="A173" s="41" t="inlineStr">
        <is>
          <t>STU-31</t>
        </is>
      </c>
      <c r="B173" s="41" t="inlineStr">
        <is>
          <t>Students</t>
        </is>
      </c>
      <c r="C173" s="41" t="inlineStr">
        <is>
          <t>Left</t>
        </is>
      </c>
      <c r="D173" s="41" t="inlineStr">
        <is>
          <t>Functional</t>
        </is>
      </c>
      <c r="E173" s="41" t="inlineStr">
        <is>
          <t>Medium</t>
        </is>
      </c>
      <c r="F173" s="41" t="inlineStr">
        <is>
          <t>Admin</t>
        </is>
      </c>
      <c r="G173" s="41" t="n"/>
      <c r="H173" s="41" t="inlineStr">
        <is>
          <t>Look for a Delete button on the Students list and on a student's page</t>
        </is>
      </c>
      <c r="I173" s="41" t="inlineStr">
        <is>
          <t>There is none: a student who has gone is closed with Mark as left (see STU-49)</t>
        </is>
      </c>
      <c r="J173" s="42" t="n"/>
      <c r="K173" s="42" t="inlineStr">
        <is>
          <t>Not Run</t>
        </is>
      </c>
      <c r="L173" s="42" t="n"/>
      <c r="M173" s="43" t="n"/>
      <c r="N173" s="42" t="n"/>
      <c r="O173" s="42" t="inlineStr">
        <is>
          <t>Reworded Oct 15</t>
        </is>
      </c>
    </row>
    <row r="174" ht="15" customHeight="1" s="24">
      <c r="A174" s="41" t="inlineStr">
        <is>
          <t>STU-40</t>
        </is>
      </c>
      <c r="B174" s="41" t="inlineStr">
        <is>
          <t>Students</t>
        </is>
      </c>
      <c r="C174" s="41" t="inlineStr">
        <is>
          <t>History</t>
        </is>
      </c>
      <c r="D174" s="41" t="inlineStr">
        <is>
          <t>Functional</t>
        </is>
      </c>
      <c r="E174" s="41" t="inlineStr">
        <is>
          <t>High</t>
        </is>
      </c>
      <c r="F174" s="41" t="inlineStr">
        <is>
          <t>Admin</t>
        </is>
      </c>
      <c r="G174" s="41" t="n"/>
      <c r="H174" s="41" t="inlineStr">
        <is>
          <t>Open Academic History for a normal student</t>
        </is>
      </c>
      <c r="I174" s="41" t="inlineStr">
        <is>
          <t>One row: year, class, roll, from date, dash, Active badge</t>
        </is>
      </c>
      <c r="J174" s="42" t="n"/>
      <c r="K174" s="42" t="inlineStr">
        <is>
          <t>Not Run</t>
        </is>
      </c>
      <c r="L174" s="42" t="n"/>
      <c r="M174" s="43" t="n"/>
      <c r="N174" s="42" t="n"/>
      <c r="O174" s="42" t="n"/>
    </row>
    <row r="175" ht="23.25" customHeight="1" s="24">
      <c r="A175" s="41" t="inlineStr">
        <is>
          <t>STU-41</t>
        </is>
      </c>
      <c r="B175" s="41" t="inlineStr">
        <is>
          <t>Students</t>
        </is>
      </c>
      <c r="C175" s="41" t="inlineStr">
        <is>
          <t>History</t>
        </is>
      </c>
      <c r="D175" s="41" t="inlineStr">
        <is>
          <t>Functional</t>
        </is>
      </c>
      <c r="E175" s="41" t="inlineStr">
        <is>
          <t>High</t>
        </is>
      </c>
      <c r="F175" s="41" t="inlineStr">
        <is>
          <t>Admin</t>
        </is>
      </c>
      <c r="G175" s="41" t="inlineStr">
        <is>
          <t>After a class change</t>
        </is>
      </c>
      <c r="H175" s="41" t="inlineStr">
        <is>
          <t>Open Academic History</t>
        </is>
      </c>
      <c r="I175" s="41" t="inlineStr">
        <is>
          <t>Two rows, newest first; old row has end date, Transferred and remark 'Moved to ...'</t>
        </is>
      </c>
      <c r="J175" s="42" t="n"/>
      <c r="K175" s="42" t="inlineStr">
        <is>
          <t>Not Run</t>
        </is>
      </c>
      <c r="L175" s="42" t="n"/>
      <c r="M175" s="43" t="n"/>
      <c r="N175" s="42" t="n"/>
      <c r="O175" s="42" t="n"/>
    </row>
    <row r="176" ht="15" customHeight="1" s="24">
      <c r="A176" s="41" t="inlineStr">
        <is>
          <t>STU-42</t>
        </is>
      </c>
      <c r="B176" s="41" t="inlineStr">
        <is>
          <t>Students</t>
        </is>
      </c>
      <c r="C176" s="41" t="inlineStr">
        <is>
          <t>History</t>
        </is>
      </c>
      <c r="D176" s="41" t="inlineStr">
        <is>
          <t>UI</t>
        </is>
      </c>
      <c r="E176" s="41" t="inlineStr">
        <is>
          <t>Low</t>
        </is>
      </c>
      <c r="F176" s="41" t="inlineStr">
        <is>
          <t>Admin</t>
        </is>
      </c>
      <c r="G176" s="41" t="n"/>
      <c r="H176" s="41" t="inlineStr">
        <is>
          <t>Look for edit controls in the history</t>
        </is>
      </c>
      <c r="I176" s="41" t="inlineStr">
        <is>
          <t>Read-only</t>
        </is>
      </c>
      <c r="J176" s="42" t="n"/>
      <c r="K176" s="42" t="inlineStr">
        <is>
          <t>Not Run</t>
        </is>
      </c>
      <c r="L176" s="42" t="n"/>
      <c r="M176" s="43" t="n"/>
      <c r="N176" s="42" t="n"/>
      <c r="O176" s="42" t="n"/>
    </row>
    <row r="177" ht="15" customHeight="1" s="24">
      <c r="A177" s="41" t="inlineStr">
        <is>
          <t>STU-43</t>
        </is>
      </c>
      <c r="B177" s="41" t="inlineStr">
        <is>
          <t>Students</t>
        </is>
      </c>
      <c r="C177" s="41" t="inlineStr">
        <is>
          <t>History</t>
        </is>
      </c>
      <c r="D177" s="41" t="inlineStr">
        <is>
          <t>Negative</t>
        </is>
      </c>
      <c r="E177" s="41" t="inlineStr">
        <is>
          <t>Low</t>
        </is>
      </c>
      <c r="F177" s="41" t="inlineStr">
        <is>
          <t>Admin</t>
        </is>
      </c>
      <c r="G177" s="41" t="n"/>
      <c r="H177" s="41" t="inlineStr">
        <is>
          <t>Open history with API stopped</t>
        </is>
      </c>
      <c r="I177" s="41" t="inlineStr">
        <is>
          <t>'Loading...' then 'Could not load the history.'</t>
        </is>
      </c>
      <c r="J177" s="42" t="n"/>
      <c r="K177" s="42" t="inlineStr">
        <is>
          <t>Not Run</t>
        </is>
      </c>
      <c r="L177" s="42" t="n"/>
      <c r="M177" s="43" t="n"/>
      <c r="N177" s="42" t="n"/>
      <c r="O177" s="42" t="n"/>
    </row>
    <row r="178" ht="23.25" customHeight="1" s="24">
      <c r="A178" s="41" t="inlineStr">
        <is>
          <t>STU-44</t>
        </is>
      </c>
      <c r="B178" s="41" t="inlineStr">
        <is>
          <t>Students</t>
        </is>
      </c>
      <c r="C178" s="41" t="inlineStr">
        <is>
          <t>Linked parents</t>
        </is>
      </c>
      <c r="D178" s="41" t="inlineStr">
        <is>
          <t>Functional</t>
        </is>
      </c>
      <c r="E178" s="41" t="inlineStr">
        <is>
          <t>Medium</t>
        </is>
      </c>
      <c r="F178" s="41" t="inlineStr">
        <is>
          <t>Admin</t>
        </is>
      </c>
      <c r="G178" s="41" t="n"/>
      <c r="H178" s="41" t="inlineStr">
        <is>
          <t>Open Linked Parents</t>
        </is>
      </c>
      <c r="I178" s="41" t="inlineStr">
        <is>
          <t>Parents with relation, primary star, mobile/e-mail; empty state when none</t>
        </is>
      </c>
      <c r="J178" s="42" t="n"/>
      <c r="K178" s="42" t="inlineStr">
        <is>
          <t>Not Run</t>
        </is>
      </c>
      <c r="L178" s="42" t="n"/>
      <c r="M178" s="43" t="n"/>
      <c r="N178" s="42" t="n"/>
      <c r="O178" s="42" t="n"/>
    </row>
    <row r="179" ht="23.25" customHeight="1" s="24">
      <c r="A179" s="41" t="inlineStr">
        <is>
          <t>STU-45</t>
        </is>
      </c>
      <c r="B179" s="41" t="inlineStr">
        <is>
          <t>Students</t>
        </is>
      </c>
      <c r="C179" s="41" t="inlineStr">
        <is>
          <t>Student detail</t>
        </is>
      </c>
      <c r="D179" s="41" t="inlineStr">
        <is>
          <t>Functional</t>
        </is>
      </c>
      <c r="E179" s="41" t="inlineStr">
        <is>
          <t>Medium</t>
        </is>
      </c>
      <c r="F179" s="41" t="inlineStr">
        <is>
          <t>Admin</t>
        </is>
      </c>
      <c r="G179" s="41" t="n"/>
      <c r="H179" s="41" t="inlineStr">
        <is>
          <t>Open a student's detail page</t>
        </is>
      </c>
      <c r="I179" s="41" t="inlineStr">
        <is>
          <t>Tabs (basics, history, health, documents, ...) load; Safeguarding/Documents only for office staff with the permission</t>
        </is>
      </c>
      <c r="J179" s="42" t="n"/>
      <c r="K179" s="42" t="inlineStr">
        <is>
          <t>Not Run</t>
        </is>
      </c>
      <c r="L179" s="42" t="n"/>
      <c r="M179" s="43" t="n"/>
      <c r="N179" s="42" t="n"/>
      <c r="O179" s="42" t="n"/>
    </row>
    <row r="180" ht="23.25" customHeight="1" s="24">
      <c r="A180" s="41" t="inlineStr">
        <is>
          <t>STU-46</t>
        </is>
      </c>
      <c r="B180" s="41" t="inlineStr">
        <is>
          <t>Students</t>
        </is>
      </c>
      <c r="C180" s="41" t="inlineStr">
        <is>
          <t>Scoped access</t>
        </is>
      </c>
      <c r="D180" s="41" t="inlineStr">
        <is>
          <t>Security</t>
        </is>
      </c>
      <c r="E180" s="41" t="inlineStr">
        <is>
          <t>High</t>
        </is>
      </c>
      <c r="F180" s="41" t="inlineStr">
        <is>
          <t>Teacher</t>
        </is>
      </c>
      <c r="G180" s="41" t="inlineStr">
        <is>
          <t>Teacher is class teacher of ZT Class A</t>
        </is>
      </c>
      <c r="H180" s="41" t="inlineStr">
        <is>
          <t>Open Students as the teacher</t>
        </is>
      </c>
      <c r="I180" s="41" t="inlineStr">
        <is>
          <t>Only students of the teacher's classes are listed; others cannot be opened by URL</t>
        </is>
      </c>
      <c r="J180" s="42" t="n"/>
      <c r="K180" s="42" t="inlineStr">
        <is>
          <t>Not Run</t>
        </is>
      </c>
      <c r="L180" s="42" t="n"/>
      <c r="M180" s="43" t="n"/>
      <c r="N180" s="42" t="n"/>
      <c r="O180" s="42" t="n"/>
    </row>
    <row r="181" ht="15" customHeight="1" s="24">
      <c r="A181" s="41" t="inlineStr">
        <is>
          <t>ATT-01</t>
        </is>
      </c>
      <c r="B181" s="41" t="inlineStr">
        <is>
          <t>Attendance</t>
        </is>
      </c>
      <c r="C181" s="41" t="inlineStr">
        <is>
          <t>Open</t>
        </is>
      </c>
      <c r="D181" s="41" t="inlineStr">
        <is>
          <t>Functional</t>
        </is>
      </c>
      <c r="E181" s="41" t="inlineStr">
        <is>
          <t>High</t>
        </is>
      </c>
      <c r="F181" s="41" t="inlineStr">
        <is>
          <t>Admin</t>
        </is>
      </c>
      <c r="G181" s="41" t="n"/>
      <c r="H181" s="41" t="inlineStr">
        <is>
          <t>Open Attendance</t>
        </is>
      </c>
      <c r="I181" s="41" t="inlineStr">
        <is>
          <t>Tabs Daily / Subject; Class, Date (today) and Search present</t>
        </is>
      </c>
      <c r="J181" s="42" t="n"/>
      <c r="K181" s="42" t="inlineStr">
        <is>
          <t>Not Run</t>
        </is>
      </c>
      <c r="L181" s="42" t="n"/>
      <c r="M181" s="43" t="n"/>
      <c r="N181" s="42" t="n"/>
      <c r="O181" s="42" t="n"/>
    </row>
    <row r="182" ht="23.25" customHeight="1" s="24">
      <c r="A182" s="41" t="inlineStr">
        <is>
          <t>ATT-02</t>
        </is>
      </c>
      <c r="B182" s="41" t="inlineStr">
        <is>
          <t>Attendance</t>
        </is>
      </c>
      <c r="C182" s="41" t="inlineStr">
        <is>
          <t>Roster</t>
        </is>
      </c>
      <c r="D182" s="41" t="inlineStr">
        <is>
          <t>Functional</t>
        </is>
      </c>
      <c r="E182" s="41" t="inlineStr">
        <is>
          <t>High</t>
        </is>
      </c>
      <c r="F182" s="41" t="inlineStr">
        <is>
          <t>Admin</t>
        </is>
      </c>
      <c r="G182" s="41" t="inlineStr">
        <is>
          <t>Class with students</t>
        </is>
      </c>
      <c r="H182" s="41" t="inlineStr">
        <is>
          <t>Pick a class</t>
        </is>
      </c>
      <c r="I182" s="41" t="inlineStr">
        <is>
          <t>Roster of Active students: roll no., name, admission no., 5 status buttons, remarks, last-7 dots</t>
        </is>
      </c>
      <c r="J182" s="42" t="n"/>
      <c r="K182" s="42" t="inlineStr">
        <is>
          <t>Not Run</t>
        </is>
      </c>
      <c r="L182" s="42" t="n"/>
      <c r="M182" s="43" t="n"/>
      <c r="N182" s="42" t="n"/>
      <c r="O182" s="42" t="n"/>
    </row>
    <row r="183" ht="15" customHeight="1" s="24">
      <c r="A183" s="41" t="inlineStr">
        <is>
          <t>ATT-03</t>
        </is>
      </c>
      <c r="B183" s="41" t="inlineStr">
        <is>
          <t>Attendance</t>
        </is>
      </c>
      <c r="C183" s="41" t="inlineStr">
        <is>
          <t>Subject tab</t>
        </is>
      </c>
      <c r="D183" s="41" t="inlineStr">
        <is>
          <t>Functional</t>
        </is>
      </c>
      <c r="E183" s="41" t="inlineStr">
        <is>
          <t>Low</t>
        </is>
      </c>
      <c r="F183" s="41" t="inlineStr">
        <is>
          <t>Admin</t>
        </is>
      </c>
      <c r="G183" s="41" t="inlineStr">
        <is>
          <t>Class with no subjects</t>
        </is>
      </c>
      <c r="H183" s="41" t="inlineStr">
        <is>
          <t>Open Subject tab</t>
        </is>
      </c>
      <c r="I183" s="41" t="inlineStr">
        <is>
          <t>Message 'No active subjects'</t>
        </is>
      </c>
      <c r="J183" s="42" t="n"/>
      <c r="K183" s="42" t="inlineStr">
        <is>
          <t>Not Run</t>
        </is>
      </c>
      <c r="L183" s="42" t="n"/>
      <c r="M183" s="43" t="n"/>
      <c r="N183" s="42" t="n"/>
      <c r="O183" s="42" t="n"/>
    </row>
    <row r="184" ht="15" customHeight="1" s="24">
      <c r="A184" s="41" t="inlineStr">
        <is>
          <t>ATT-04</t>
        </is>
      </c>
      <c r="B184" s="41" t="inlineStr">
        <is>
          <t>Attendance</t>
        </is>
      </c>
      <c r="C184" s="41" t="inlineStr">
        <is>
          <t>Subject tab</t>
        </is>
      </c>
      <c r="D184" s="41" t="inlineStr">
        <is>
          <t>Functional</t>
        </is>
      </c>
      <c r="E184" s="41" t="inlineStr">
        <is>
          <t>Medium</t>
        </is>
      </c>
      <c r="F184" s="41" t="inlineStr">
        <is>
          <t>Admin</t>
        </is>
      </c>
      <c r="G184" s="41" t="n"/>
      <c r="H184" s="41" t="inlineStr">
        <is>
          <t>Subject tab without choosing a subject</t>
        </is>
      </c>
      <c r="I184" s="41" t="inlineStr">
        <is>
          <t>Roster not loaded / prompt to choose</t>
        </is>
      </c>
      <c r="J184" s="42" t="n"/>
      <c r="K184" s="42" t="inlineStr">
        <is>
          <t>Not Run</t>
        </is>
      </c>
      <c r="L184" s="42" t="n"/>
      <c r="M184" s="43" t="n"/>
      <c r="N184" s="42" t="n"/>
      <c r="O184" s="42" t="n"/>
    </row>
    <row r="185" ht="15" customHeight="1" s="24">
      <c r="A185" s="41" t="inlineStr">
        <is>
          <t>ATT-05</t>
        </is>
      </c>
      <c r="B185" s="41" t="inlineStr">
        <is>
          <t>Attendance</t>
        </is>
      </c>
      <c r="C185" s="41" t="inlineStr">
        <is>
          <t>Marking</t>
        </is>
      </c>
      <c r="D185" s="41" t="inlineStr">
        <is>
          <t>Functional</t>
        </is>
      </c>
      <c r="E185" s="41" t="inlineStr">
        <is>
          <t>High</t>
        </is>
      </c>
      <c r="F185" s="41" t="inlineStr">
        <is>
          <t>Admin</t>
        </is>
      </c>
      <c r="G185" s="41" t="n"/>
      <c r="H185" s="41" t="inlineStr">
        <is>
          <t>Mark All Present</t>
        </is>
      </c>
      <c r="I185" s="41" t="inlineStr">
        <is>
          <t>Everyone Present; counters update</t>
        </is>
      </c>
      <c r="J185" s="42" t="n"/>
      <c r="K185" s="42" t="inlineStr">
        <is>
          <t>Not Run</t>
        </is>
      </c>
      <c r="L185" s="42" t="n"/>
      <c r="M185" s="43" t="n"/>
      <c r="N185" s="42" t="n"/>
      <c r="O185" s="42" t="n"/>
    </row>
    <row r="186" ht="15" customHeight="1" s="24">
      <c r="A186" s="41" t="inlineStr">
        <is>
          <t>ATT-06</t>
        </is>
      </c>
      <c r="B186" s="41" t="inlineStr">
        <is>
          <t>Attendance</t>
        </is>
      </c>
      <c r="C186" s="41" t="inlineStr">
        <is>
          <t>Marking</t>
        </is>
      </c>
      <c r="D186" s="41" t="inlineStr">
        <is>
          <t>Functional</t>
        </is>
      </c>
      <c r="E186" s="41" t="inlineStr">
        <is>
          <t>Medium</t>
        </is>
      </c>
      <c r="F186" s="41" t="inlineStr">
        <is>
          <t>Admin</t>
        </is>
      </c>
      <c r="G186" s="41" t="n"/>
      <c r="H186" s="41" t="inlineStr">
        <is>
          <t>Mark All Absent</t>
        </is>
      </c>
      <c r="I186" s="41" t="inlineStr">
        <is>
          <t>Everyone Absent</t>
        </is>
      </c>
      <c r="J186" s="42" t="n"/>
      <c r="K186" s="42" t="inlineStr">
        <is>
          <t>Not Run</t>
        </is>
      </c>
      <c r="L186" s="42" t="n"/>
      <c r="M186" s="43" t="n"/>
      <c r="N186" s="42" t="n"/>
      <c r="O186" s="42" t="n"/>
    </row>
    <row r="187" ht="15" customHeight="1" s="24">
      <c r="A187" s="41" t="inlineStr">
        <is>
          <t>ATT-07</t>
        </is>
      </c>
      <c r="B187" s="41" t="inlineStr">
        <is>
          <t>Attendance</t>
        </is>
      </c>
      <c r="C187" s="41" t="inlineStr">
        <is>
          <t>Marking</t>
        </is>
      </c>
      <c r="D187" s="41" t="inlineStr">
        <is>
          <t>Functional</t>
        </is>
      </c>
      <c r="E187" s="41" t="inlineStr">
        <is>
          <t>High</t>
        </is>
      </c>
      <c r="F187" s="41" t="inlineStr">
        <is>
          <t>Admin</t>
        </is>
      </c>
      <c r="G187" s="41" t="n"/>
      <c r="H187" s="41" t="inlineStr">
        <is>
          <t>Change individual statuses and add remarks</t>
        </is>
      </c>
      <c r="I187" s="41" t="inlineStr">
        <is>
          <t>Counters (Present/Absent/Late/Half Day/Leave) update live</t>
        </is>
      </c>
      <c r="J187" s="42" t="n"/>
      <c r="K187" s="42" t="inlineStr">
        <is>
          <t>Not Run</t>
        </is>
      </c>
      <c r="L187" s="42" t="n"/>
      <c r="M187" s="43" t="n"/>
      <c r="N187" s="42" t="n"/>
      <c r="O187" s="42" t="n"/>
    </row>
    <row r="188" ht="23.25" customHeight="1" s="24">
      <c r="A188" s="41" t="inlineStr">
        <is>
          <t>ATT-08</t>
        </is>
      </c>
      <c r="B188" s="41" t="inlineStr">
        <is>
          <t>Attendance</t>
        </is>
      </c>
      <c r="C188" s="41" t="inlineStr">
        <is>
          <t>Save</t>
        </is>
      </c>
      <c r="D188" s="41" t="inlineStr">
        <is>
          <t>Validation</t>
        </is>
      </c>
      <c r="E188" s="41" t="inlineStr">
        <is>
          <t>High</t>
        </is>
      </c>
      <c r="F188" s="41" t="inlineStr">
        <is>
          <t>Admin</t>
        </is>
      </c>
      <c r="G188" s="41" t="n"/>
      <c r="H188" s="41" t="inlineStr">
        <is>
          <t>Save with a student unmarked</t>
        </is>
      </c>
      <c r="I188" s="41" t="inlineStr">
        <is>
          <t>Error 'N student(s) have no status yet' (or Save disabled until complete; record which)</t>
        </is>
      </c>
      <c r="J188" s="42" t="n"/>
      <c r="K188" s="42" t="inlineStr">
        <is>
          <t>Not Run</t>
        </is>
      </c>
      <c r="L188" s="42" t="n"/>
      <c r="M188" s="43" t="n"/>
      <c r="N188" s="42" t="n"/>
      <c r="O188" s="42" t="n"/>
    </row>
    <row r="189" ht="23.25" customHeight="1" s="24">
      <c r="A189" s="41" t="inlineStr">
        <is>
          <t>ATT-09</t>
        </is>
      </c>
      <c r="B189" s="41" t="inlineStr">
        <is>
          <t>Attendance</t>
        </is>
      </c>
      <c r="C189" s="41" t="inlineStr">
        <is>
          <t>Save</t>
        </is>
      </c>
      <c r="D189" s="41" t="inlineStr">
        <is>
          <t>Functional</t>
        </is>
      </c>
      <c r="E189" s="41" t="inlineStr">
        <is>
          <t>High</t>
        </is>
      </c>
      <c r="F189" s="41" t="inlineStr">
        <is>
          <t>Admin</t>
        </is>
      </c>
      <c r="G189" s="41" t="n"/>
      <c r="H189" s="41" t="inlineStr">
        <is>
          <t>Save</t>
        </is>
      </c>
      <c r="I189" s="41" t="inlineStr">
        <is>
          <t>Banner 'Saved by &lt;user&gt; - &lt;time&gt;'; Save disabled until something changes</t>
        </is>
      </c>
      <c r="J189" s="42" t="n"/>
      <c r="K189" s="42" t="inlineStr">
        <is>
          <t>Not Run</t>
        </is>
      </c>
      <c r="L189" s="42" t="n"/>
      <c r="M189" s="43" t="n"/>
      <c r="N189" s="42" t="n"/>
      <c r="O189" s="42" t="n"/>
    </row>
    <row r="190" ht="15" customHeight="1" s="24">
      <c r="A190" s="41" t="inlineStr">
        <is>
          <t>ATT-10</t>
        </is>
      </c>
      <c r="B190" s="41" t="inlineStr">
        <is>
          <t>Attendance</t>
        </is>
      </c>
      <c r="C190" s="41" t="inlineStr">
        <is>
          <t>Save</t>
        </is>
      </c>
      <c r="D190" s="41" t="inlineStr">
        <is>
          <t>Functional</t>
        </is>
      </c>
      <c r="E190" s="41" t="inlineStr">
        <is>
          <t>High</t>
        </is>
      </c>
      <c r="F190" s="41" t="inlineStr">
        <is>
          <t>Admin</t>
        </is>
      </c>
      <c r="G190" s="41" t="inlineStr">
        <is>
          <t>Saved earlier</t>
        </is>
      </c>
      <c r="H190" s="41" t="inlineStr">
        <is>
          <t>Reload and re-select class and date</t>
        </is>
      </c>
      <c r="I190" s="41" t="inlineStr">
        <is>
          <t>Saved statuses come back</t>
        </is>
      </c>
      <c r="J190" s="42" t="n"/>
      <c r="K190" s="42" t="inlineStr">
        <is>
          <t>Not Run</t>
        </is>
      </c>
      <c r="L190" s="42" t="n"/>
      <c r="M190" s="43" t="n"/>
      <c r="N190" s="42" t="n"/>
      <c r="O190" s="42" t="n"/>
    </row>
    <row r="191" ht="15" customHeight="1" s="24">
      <c r="A191" s="41" t="inlineStr">
        <is>
          <t>ATT-11</t>
        </is>
      </c>
      <c r="B191" s="41" t="inlineStr">
        <is>
          <t>Attendance</t>
        </is>
      </c>
      <c r="C191" s="41" t="inlineStr">
        <is>
          <t>Save</t>
        </is>
      </c>
      <c r="D191" s="41" t="inlineStr">
        <is>
          <t>Functional</t>
        </is>
      </c>
      <c r="E191" s="41" t="inlineStr">
        <is>
          <t>Medium</t>
        </is>
      </c>
      <c r="F191" s="41" t="inlineStr">
        <is>
          <t>Admin</t>
        </is>
      </c>
      <c r="G191" s="41" t="n"/>
      <c r="H191" s="41" t="inlineStr">
        <is>
          <t>Change a status and save again</t>
        </is>
      </c>
      <c r="I191" s="41" t="inlineStr">
        <is>
          <t>Same session updated; banner time changes</t>
        </is>
      </c>
      <c r="J191" s="42" t="n"/>
      <c r="K191" s="42" t="inlineStr">
        <is>
          <t>Not Run</t>
        </is>
      </c>
      <c r="L191" s="42" t="n"/>
      <c r="M191" s="43" t="n"/>
      <c r="N191" s="42" t="n"/>
      <c r="O191" s="42" t="n"/>
    </row>
    <row r="192" ht="23.25" customHeight="1" s="24">
      <c r="A192" s="41" t="inlineStr">
        <is>
          <t>ATT-12</t>
        </is>
      </c>
      <c r="B192" s="41" t="inlineStr">
        <is>
          <t>Attendance</t>
        </is>
      </c>
      <c r="C192" s="41" t="inlineStr">
        <is>
          <t>Copy</t>
        </is>
      </c>
      <c r="D192" s="41" t="inlineStr">
        <is>
          <t>Functional</t>
        </is>
      </c>
      <c r="E192" s="41" t="inlineStr">
        <is>
          <t>Medium</t>
        </is>
      </c>
      <c r="F192" s="41" t="inlineStr">
        <is>
          <t>Admin</t>
        </is>
      </c>
      <c r="G192" s="41" t="inlineStr">
        <is>
          <t>Previous day saved</t>
        </is>
      </c>
      <c r="H192" s="41" t="inlineStr">
        <is>
          <t>Click Copy from previous day</t>
        </is>
      </c>
      <c r="I192" s="41" t="inlineStr">
        <is>
          <t>Statuses copied from the previous session date; button disabled when none exists</t>
        </is>
      </c>
      <c r="J192" s="42" t="n"/>
      <c r="K192" s="42" t="inlineStr">
        <is>
          <t>Not Run</t>
        </is>
      </c>
      <c r="L192" s="42" t="n"/>
      <c r="M192" s="43" t="n"/>
      <c r="N192" s="42" t="n"/>
      <c r="O192" s="42" t="n"/>
    </row>
    <row r="193" ht="15" customHeight="1" s="24">
      <c r="A193" s="41" t="inlineStr">
        <is>
          <t>ATT-13</t>
        </is>
      </c>
      <c r="B193" s="41" t="inlineStr">
        <is>
          <t>Attendance</t>
        </is>
      </c>
      <c r="C193" s="41" t="inlineStr">
        <is>
          <t>Search</t>
        </is>
      </c>
      <c r="D193" s="41" t="inlineStr">
        <is>
          <t>Functional</t>
        </is>
      </c>
      <c r="E193" s="41" t="inlineStr">
        <is>
          <t>Medium</t>
        </is>
      </c>
      <c r="F193" s="41" t="inlineStr">
        <is>
          <t>Admin</t>
        </is>
      </c>
      <c r="G193" s="41" t="n"/>
      <c r="H193" s="41" t="inlineStr">
        <is>
          <t>Search students by name / admission / roll</t>
        </is>
      </c>
      <c r="I193" s="41" t="inlineStr">
        <is>
          <t>Visible rows filter; hidden rows keep their status and are still saved</t>
        </is>
      </c>
      <c r="J193" s="42" t="n"/>
      <c r="K193" s="42" t="inlineStr">
        <is>
          <t>Not Run</t>
        </is>
      </c>
      <c r="L193" s="42" t="n"/>
      <c r="M193" s="43" t="n"/>
      <c r="N193" s="42" t="n"/>
      <c r="O193" s="42" t="n"/>
    </row>
    <row r="194" ht="15" customHeight="1" s="24">
      <c r="A194" s="41" t="inlineStr">
        <is>
          <t>ATT-14</t>
        </is>
      </c>
      <c r="B194" s="41" t="inlineStr">
        <is>
          <t>Attendance</t>
        </is>
      </c>
      <c r="C194" s="41" t="inlineStr">
        <is>
          <t>Unsaved changes</t>
        </is>
      </c>
      <c r="D194" s="41" t="inlineStr">
        <is>
          <t>Functional</t>
        </is>
      </c>
      <c r="E194" s="41" t="inlineStr">
        <is>
          <t>High</t>
        </is>
      </c>
      <c r="F194" s="41" t="inlineStr">
        <is>
          <t>Admin</t>
        </is>
      </c>
      <c r="G194" s="41" t="inlineStr">
        <is>
          <t>Unsaved changes</t>
        </is>
      </c>
      <c r="H194" s="41" t="inlineStr">
        <is>
          <t>Change class / date / tab</t>
        </is>
      </c>
      <c r="I194" s="41" t="inlineStr">
        <is>
          <t>Confirm 'Discard unsaved changes?'</t>
        </is>
      </c>
      <c r="J194" s="42" t="n"/>
      <c r="K194" s="42" t="inlineStr">
        <is>
          <t>Not Run</t>
        </is>
      </c>
      <c r="L194" s="42" t="n"/>
      <c r="M194" s="43" t="n"/>
      <c r="N194" s="42" t="n"/>
      <c r="O194" s="42" t="n"/>
    </row>
    <row r="195" ht="15" customHeight="1" s="24">
      <c r="A195" s="41" t="inlineStr">
        <is>
          <t>ATT-15</t>
        </is>
      </c>
      <c r="B195" s="41" t="inlineStr">
        <is>
          <t>Attendance</t>
        </is>
      </c>
      <c r="C195" s="41" t="inlineStr">
        <is>
          <t>Unsaved changes</t>
        </is>
      </c>
      <c r="D195" s="41" t="inlineStr">
        <is>
          <t>Functional</t>
        </is>
      </c>
      <c r="E195" s="41" t="inlineStr">
        <is>
          <t>Medium</t>
        </is>
      </c>
      <c r="F195" s="41" t="inlineStr">
        <is>
          <t>Admin</t>
        </is>
      </c>
      <c r="G195" s="41" t="inlineStr">
        <is>
          <t>Unsaved changes</t>
        </is>
      </c>
      <c r="H195" s="41" t="inlineStr">
        <is>
          <t>Close or refresh the browser tab</t>
        </is>
      </c>
      <c r="I195" s="41" t="inlineStr">
        <is>
          <t>Browser 'leave site?' warning</t>
        </is>
      </c>
      <c r="J195" s="42" t="n"/>
      <c r="K195" s="42" t="inlineStr">
        <is>
          <t>Not Run</t>
        </is>
      </c>
      <c r="L195" s="42" t="n"/>
      <c r="M195" s="43" t="n"/>
      <c r="N195" s="42" t="n"/>
      <c r="O195" s="42" t="n"/>
    </row>
    <row r="196" ht="15" customHeight="1" s="24">
      <c r="A196" s="41" t="inlineStr">
        <is>
          <t>ATT-16</t>
        </is>
      </c>
      <c r="B196" s="41" t="inlineStr">
        <is>
          <t>Attendance</t>
        </is>
      </c>
      <c r="C196" s="41" t="inlineStr">
        <is>
          <t>Rules</t>
        </is>
      </c>
      <c r="D196" s="41" t="inlineStr">
        <is>
          <t>Negative</t>
        </is>
      </c>
      <c r="E196" s="41" t="inlineStr">
        <is>
          <t>High</t>
        </is>
      </c>
      <c r="F196" s="41" t="inlineStr">
        <is>
          <t>Admin</t>
        </is>
      </c>
      <c r="G196" s="41" t="n"/>
      <c r="H196" s="41" t="inlineStr">
        <is>
          <t>Select a future date</t>
        </is>
      </c>
      <c r="I196" s="41" t="inlineStr">
        <is>
          <t>Banner 'cannot be marked for a future date'; buttons disabled</t>
        </is>
      </c>
      <c r="J196" s="42" t="n"/>
      <c r="K196" s="42" t="inlineStr">
        <is>
          <t>Not Run</t>
        </is>
      </c>
      <c r="L196" s="42" t="n"/>
      <c r="M196" s="43" t="n"/>
      <c r="N196" s="42" t="n"/>
      <c r="O196" s="42" t="n"/>
    </row>
    <row r="197" ht="23.25" customHeight="1" s="24">
      <c r="A197" s="41" t="inlineStr">
        <is>
          <t>ATT-17</t>
        </is>
      </c>
      <c r="B197" s="41" t="inlineStr">
        <is>
          <t>Attendance</t>
        </is>
      </c>
      <c r="C197" s="41" t="inlineStr">
        <is>
          <t>Rules</t>
        </is>
      </c>
      <c r="D197" s="41" t="inlineStr">
        <is>
          <t>Security</t>
        </is>
      </c>
      <c r="E197" s="41" t="inlineStr">
        <is>
          <t>High</t>
        </is>
      </c>
      <c r="F197" s="41" t="inlineStr">
        <is>
          <t>Clerk</t>
        </is>
      </c>
      <c r="G197" s="41" t="inlineStr">
        <is>
          <t>Date 2 or more days ago (older than yesterday)</t>
        </is>
      </c>
      <c r="H197" s="41" t="inlineStr">
        <is>
          <t>Open that date as Clerk or Teacher, then as Admin</t>
        </is>
      </c>
      <c r="I197" s="41" t="inlineStr">
        <is>
          <t>Non-admin: locked ('Only an Admin can change attendance older than 1 day'); Admin can edit</t>
        </is>
      </c>
      <c r="J197" s="42" t="n"/>
      <c r="K197" s="42" t="inlineStr">
        <is>
          <t>Not Run</t>
        </is>
      </c>
      <c r="L197" s="42" t="n"/>
      <c r="M197" s="43" t="n"/>
      <c r="N197" s="42" t="n"/>
      <c r="O197" s="42" t="inlineStr">
        <is>
          <t>Reworded Oct 15</t>
        </is>
      </c>
    </row>
    <row r="198" ht="15" customHeight="1" s="24">
      <c r="A198" s="41" t="inlineStr">
        <is>
          <t>ATT-18</t>
        </is>
      </c>
      <c r="B198" s="41" t="inlineStr">
        <is>
          <t>Attendance</t>
        </is>
      </c>
      <c r="C198" s="41" t="inlineStr">
        <is>
          <t>Teacher</t>
        </is>
      </c>
      <c r="D198" s="41" t="inlineStr">
        <is>
          <t>Functional</t>
        </is>
      </c>
      <c r="E198" s="41" t="inlineStr">
        <is>
          <t>High</t>
        </is>
      </c>
      <c r="F198" s="41" t="inlineStr">
        <is>
          <t>Teacher</t>
        </is>
      </c>
      <c r="G198" s="41" t="inlineStr">
        <is>
          <t>zt.teacher1 is class teacher of Class A</t>
        </is>
      </c>
      <c r="H198" s="41" t="inlineStr">
        <is>
          <t>Log in as the teacher, class A, Daily</t>
        </is>
      </c>
      <c r="I198" s="41" t="inlineStr">
        <is>
          <t>Editable</t>
        </is>
      </c>
      <c r="J198" s="42" t="n"/>
      <c r="K198" s="42" t="inlineStr">
        <is>
          <t>Not Run</t>
        </is>
      </c>
      <c r="L198" s="42" t="n"/>
      <c r="M198" s="43" t="n"/>
      <c r="N198" s="42" t="n"/>
      <c r="O198" s="42" t="n"/>
    </row>
    <row r="199" ht="15" customHeight="1" s="24">
      <c r="A199" s="41" t="inlineStr">
        <is>
          <t>ATT-19</t>
        </is>
      </c>
      <c r="B199" s="41" t="inlineStr">
        <is>
          <t>Attendance</t>
        </is>
      </c>
      <c r="C199" s="41" t="inlineStr">
        <is>
          <t>Teacher</t>
        </is>
      </c>
      <c r="D199" s="41" t="inlineStr">
        <is>
          <t>Security</t>
        </is>
      </c>
      <c r="E199" s="41" t="inlineStr">
        <is>
          <t>High</t>
        </is>
      </c>
      <c r="F199" s="41" t="inlineStr">
        <is>
          <t>Teacher</t>
        </is>
      </c>
      <c r="G199" s="41" t="n"/>
      <c r="H199" s="41" t="inlineStr">
        <is>
          <t>Teacher opens a class they are NOT class teacher of</t>
        </is>
      </c>
      <c r="I199" s="41" t="inlineStr">
        <is>
          <t>Locked banner; read-only</t>
        </is>
      </c>
      <c r="J199" s="42" t="n"/>
      <c r="K199" s="42" t="inlineStr">
        <is>
          <t>Not Run</t>
        </is>
      </c>
      <c r="L199" s="42" t="n"/>
      <c r="M199" s="43" t="n"/>
      <c r="N199" s="42" t="n"/>
      <c r="O199" s="42" t="n"/>
    </row>
    <row r="200" ht="15" customHeight="1" s="24">
      <c r="A200" s="41" t="inlineStr">
        <is>
          <t>ATT-20</t>
        </is>
      </c>
      <c r="B200" s="41" t="inlineStr">
        <is>
          <t>Attendance</t>
        </is>
      </c>
      <c r="C200" s="41" t="inlineStr">
        <is>
          <t>Teacher</t>
        </is>
      </c>
      <c r="D200" s="41" t="inlineStr">
        <is>
          <t>Security</t>
        </is>
      </c>
      <c r="E200" s="41" t="inlineStr">
        <is>
          <t>Medium</t>
        </is>
      </c>
      <c r="F200" s="41" t="inlineStr">
        <is>
          <t>Teacher</t>
        </is>
      </c>
      <c r="G200" s="41" t="n"/>
      <c r="H200" s="41" t="inlineStr">
        <is>
          <t>Teacher opens Subject tab for a subject they do not teach</t>
        </is>
      </c>
      <c r="I200" s="41" t="inlineStr">
        <is>
          <t>Locked banner</t>
        </is>
      </c>
      <c r="J200" s="42" t="n"/>
      <c r="K200" s="42" t="inlineStr">
        <is>
          <t>Not Run</t>
        </is>
      </c>
      <c r="L200" s="42" t="n"/>
      <c r="M200" s="43" t="n"/>
      <c r="N200" s="42" t="n"/>
      <c r="O200" s="42" t="n"/>
    </row>
    <row r="201" ht="15" customHeight="1" s="24">
      <c r="A201" s="41" t="inlineStr">
        <is>
          <t>ATT-21</t>
        </is>
      </c>
      <c r="B201" s="41" t="inlineStr">
        <is>
          <t>Attendance</t>
        </is>
      </c>
      <c r="C201" s="41" t="inlineStr">
        <is>
          <t>History</t>
        </is>
      </c>
      <c r="D201" s="41" t="inlineStr">
        <is>
          <t>Functional</t>
        </is>
      </c>
      <c r="E201" s="41" t="inlineStr">
        <is>
          <t>Medium</t>
        </is>
      </c>
      <c r="F201" s="41" t="inlineStr">
        <is>
          <t>Admin</t>
        </is>
      </c>
      <c r="G201" s="41" t="inlineStr">
        <is>
          <t>Student moved out of class after the date</t>
        </is>
      </c>
      <c r="H201" s="41" t="inlineStr">
        <is>
          <t>View the old date and a new date</t>
        </is>
      </c>
      <c r="I201" s="41" t="inlineStr">
        <is>
          <t>Student still shown for the old date; absent for new dates</t>
        </is>
      </c>
      <c r="J201" s="42" t="n"/>
      <c r="K201" s="42" t="inlineStr">
        <is>
          <t>Not Run</t>
        </is>
      </c>
      <c r="L201" s="42" t="n"/>
      <c r="M201" s="43" t="n"/>
      <c r="N201" s="42" t="n"/>
      <c r="O201" s="42" t="n"/>
    </row>
    <row r="202" ht="15" customHeight="1" s="24">
      <c r="A202" s="41" t="inlineStr">
        <is>
          <t>ATT-22</t>
        </is>
      </c>
      <c r="B202" s="41" t="inlineStr">
        <is>
          <t>Attendance</t>
        </is>
      </c>
      <c r="C202" s="41" t="inlineStr">
        <is>
          <t>History</t>
        </is>
      </c>
      <c r="D202" s="41" t="inlineStr">
        <is>
          <t>Functional</t>
        </is>
      </c>
      <c r="E202" s="41" t="inlineStr">
        <is>
          <t>Low</t>
        </is>
      </c>
      <c r="F202" s="41" t="inlineStr">
        <is>
          <t>Admin</t>
        </is>
      </c>
      <c r="G202" s="41" t="inlineStr">
        <is>
          <t>Left student recorded earlier</t>
        </is>
      </c>
      <c r="H202" s="41" t="inlineStr">
        <is>
          <t>View an old date</t>
        </is>
      </c>
      <c r="I202" s="41" t="inlineStr">
        <is>
          <t>Marked as not active in class (greyed) on old dates</t>
        </is>
      </c>
      <c r="J202" s="42" t="n"/>
      <c r="K202" s="42" t="inlineStr">
        <is>
          <t>Not Run</t>
        </is>
      </c>
      <c r="L202" s="42" t="n"/>
      <c r="M202" s="43" t="n"/>
      <c r="N202" s="42" t="n"/>
      <c r="O202" s="42" t="n"/>
    </row>
    <row r="203" ht="15" customHeight="1" s="24">
      <c r="A203" s="41" t="inlineStr">
        <is>
          <t>ATT-23</t>
        </is>
      </c>
      <c r="B203" s="41" t="inlineStr">
        <is>
          <t>Attendance</t>
        </is>
      </c>
      <c r="C203" s="41" t="inlineStr">
        <is>
          <t>Sessions</t>
        </is>
      </c>
      <c r="D203" s="41" t="inlineStr">
        <is>
          <t>Functional</t>
        </is>
      </c>
      <c r="E203" s="41" t="inlineStr">
        <is>
          <t>Medium</t>
        </is>
      </c>
      <c r="F203" s="41" t="inlineStr">
        <is>
          <t>Admin</t>
        </is>
      </c>
      <c r="G203" s="41" t="n"/>
      <c r="H203" s="41" t="inlineStr">
        <is>
          <t>Mark Daily and Subject attendance for the same day</t>
        </is>
      </c>
      <c r="I203" s="41" t="inlineStr">
        <is>
          <t>Independent sessions</t>
        </is>
      </c>
      <c r="J203" s="42" t="n"/>
      <c r="K203" s="42" t="inlineStr">
        <is>
          <t>Not Run</t>
        </is>
      </c>
      <c r="L203" s="42" t="n"/>
      <c r="M203" s="43" t="n"/>
      <c r="N203" s="42" t="n"/>
      <c r="O203" s="42" t="n"/>
    </row>
    <row r="204" ht="15" customHeight="1" s="24">
      <c r="A204" s="41" t="inlineStr">
        <is>
          <t>ATT-24</t>
        </is>
      </c>
      <c r="B204" s="41" t="inlineStr">
        <is>
          <t>Attendance</t>
        </is>
      </c>
      <c r="C204" s="41" t="inlineStr">
        <is>
          <t>Performance</t>
        </is>
      </c>
      <c r="D204" s="41" t="inlineStr">
        <is>
          <t>UI</t>
        </is>
      </c>
      <c r="E204" s="41" t="inlineStr">
        <is>
          <t>Low</t>
        </is>
      </c>
      <c r="F204" s="41" t="inlineStr">
        <is>
          <t>Admin</t>
        </is>
      </c>
      <c r="G204" s="41" t="inlineStr">
        <is>
          <t>Class of 40+ students</t>
        </is>
      </c>
      <c r="H204" s="41" t="inlineStr">
        <is>
          <t>Mark and save</t>
        </is>
      </c>
      <c r="I204" s="41" t="inlineStr">
        <is>
          <t>Scrolls smoothly; save under 2 seconds</t>
        </is>
      </c>
      <c r="J204" s="42" t="n"/>
      <c r="K204" s="42" t="inlineStr">
        <is>
          <t>Not Run</t>
        </is>
      </c>
      <c r="L204" s="42" t="n"/>
      <c r="M204" s="43" t="n"/>
      <c r="N204" s="42" t="n"/>
      <c r="O204" s="42" t="n"/>
    </row>
    <row r="205" ht="34.5" customHeight="1" s="24">
      <c r="A205" s="41" t="inlineStr">
        <is>
          <t>ATT-25</t>
        </is>
      </c>
      <c r="B205" s="41" t="inlineStr">
        <is>
          <t>Attendance</t>
        </is>
      </c>
      <c r="C205" s="41" t="inlineStr">
        <is>
          <t>Date rule</t>
        </is>
      </c>
      <c r="D205" s="41" t="inlineStr">
        <is>
          <t>Exploratory</t>
        </is>
      </c>
      <c r="E205" s="41" t="inlineStr">
        <is>
          <t>Medium</t>
        </is>
      </c>
      <c r="F205" s="41" t="inlineStr">
        <is>
          <t>Admin</t>
        </is>
      </c>
      <c r="G205" s="41" t="inlineStr">
        <is>
          <t>Test between 00:00 and 04:00 Abu Dhabi time</t>
        </is>
      </c>
      <c r="H205" s="41" t="inlineStr">
        <is>
          <t>Open Attendance and look at 'today'</t>
        </is>
      </c>
      <c r="I205" s="41" t="inlineStr">
        <is>
          <t>KNOWN LIMITATION in this build: 'today' follows UTC, so it can still show yesterday during those hours (fixed in the next change F2). Record what you see</t>
        </is>
      </c>
      <c r="J205" s="42" t="n"/>
      <c r="K205" s="42" t="inlineStr">
        <is>
          <t>Not Run</t>
        </is>
      </c>
      <c r="L205" s="42" t="n"/>
      <c r="M205" s="43" t="n"/>
      <c r="N205" s="42" t="n"/>
      <c r="O205" s="42" t="n"/>
    </row>
    <row r="206" ht="23.25" customHeight="1" s="24">
      <c r="A206" s="41" t="inlineStr">
        <is>
          <t>DOC-01</t>
        </is>
      </c>
      <c r="B206" s="41" t="inlineStr">
        <is>
          <t>Documents</t>
        </is>
      </c>
      <c r="C206" s="41" t="inlineStr">
        <is>
          <t>Documents page</t>
        </is>
      </c>
      <c r="D206" s="41" t="inlineStr">
        <is>
          <t>Functional</t>
        </is>
      </c>
      <c r="E206" s="41" t="inlineStr">
        <is>
          <t>High</t>
        </is>
      </c>
      <c r="F206" s="41" t="inlineStr">
        <is>
          <t>Admin</t>
        </is>
      </c>
      <c r="G206" s="41" t="inlineStr">
        <is>
          <t>Documents exist</t>
        </is>
      </c>
      <c r="H206" s="41" t="inlineStr">
        <is>
          <t>Open Documents</t>
        </is>
      </c>
      <c r="I206" s="41" t="inlineStr">
        <is>
          <t>List loads; filters work (type, status, expiry state Expired / Expiring soon, owner)</t>
        </is>
      </c>
      <c r="J206" s="42" t="n"/>
      <c r="K206" s="42" t="inlineStr">
        <is>
          <t>Not Run</t>
        </is>
      </c>
      <c r="L206" s="42" t="n"/>
      <c r="M206" s="43" t="n"/>
      <c r="N206" s="42" t="n"/>
      <c r="O206" s="42" t="n"/>
    </row>
    <row r="207" ht="15" customHeight="1" s="24">
      <c r="A207" s="41" t="inlineStr">
        <is>
          <t>DOC-02</t>
        </is>
      </c>
      <c r="B207" s="41" t="inlineStr">
        <is>
          <t>Documents</t>
        </is>
      </c>
      <c r="C207" s="41" t="inlineStr">
        <is>
          <t>Upload</t>
        </is>
      </c>
      <c r="D207" s="41" t="inlineStr">
        <is>
          <t>Functional</t>
        </is>
      </c>
      <c r="E207" s="41" t="inlineStr">
        <is>
          <t>High</t>
        </is>
      </c>
      <c r="F207" s="41" t="inlineStr">
        <is>
          <t>Admin</t>
        </is>
      </c>
      <c r="G207" s="41" t="inlineStr">
        <is>
          <t>A student exists</t>
        </is>
      </c>
      <c r="H207" s="41" t="inlineStr">
        <is>
          <t>On the student's Documents tab upload a PDF of type 'Transfer certificate'</t>
        </is>
      </c>
      <c r="I207" s="41" t="inlineStr">
        <is>
          <t>Uploaded; status Pending; shows file name, size, type, uploader</t>
        </is>
      </c>
      <c r="J207" s="42" t="n"/>
      <c r="K207" s="42" t="inlineStr">
        <is>
          <t>Not Run</t>
        </is>
      </c>
      <c r="L207" s="42" t="n"/>
      <c r="M207" s="43" t="n"/>
      <c r="N207" s="42" t="n"/>
      <c r="O207" s="42" t="n"/>
    </row>
    <row r="208" ht="15" customHeight="1" s="24">
      <c r="A208" s="41" t="inlineStr">
        <is>
          <t>DOC-03</t>
        </is>
      </c>
      <c r="B208" s="41" t="inlineStr">
        <is>
          <t>Documents</t>
        </is>
      </c>
      <c r="C208" s="41" t="inlineStr">
        <is>
          <t>Upload</t>
        </is>
      </c>
      <c r="D208" s="41" t="inlineStr">
        <is>
          <t>Functional</t>
        </is>
      </c>
      <c r="E208" s="41" t="inlineStr">
        <is>
          <t>High</t>
        </is>
      </c>
      <c r="F208" s="41" t="inlineStr">
        <is>
          <t>Admin</t>
        </is>
      </c>
      <c r="G208" s="41" t="n"/>
      <c r="H208" s="41" t="inlineStr">
        <is>
          <t>Upload a JPG and a PNG</t>
        </is>
      </c>
      <c r="I208" s="41" t="inlineStr">
        <is>
          <t>Both accepted</t>
        </is>
      </c>
      <c r="J208" s="42" t="n"/>
      <c r="K208" s="42" t="inlineStr">
        <is>
          <t>Not Run</t>
        </is>
      </c>
      <c r="L208" s="42" t="n"/>
      <c r="M208" s="43" t="n"/>
      <c r="N208" s="42" t="n"/>
      <c r="O208" s="42" t="n"/>
    </row>
    <row r="209" ht="15" customHeight="1" s="24">
      <c r="A209" s="41" t="inlineStr">
        <is>
          <t>DOC-04</t>
        </is>
      </c>
      <c r="B209" s="41" t="inlineStr">
        <is>
          <t>Documents</t>
        </is>
      </c>
      <c r="C209" s="41" t="inlineStr">
        <is>
          <t>Upload</t>
        </is>
      </c>
      <c r="D209" s="41" t="inlineStr">
        <is>
          <t>Negative</t>
        </is>
      </c>
      <c r="E209" s="41" t="inlineStr">
        <is>
          <t>High</t>
        </is>
      </c>
      <c r="F209" s="41" t="inlineStr">
        <is>
          <t>Admin</t>
        </is>
      </c>
      <c r="G209" s="41" t="inlineStr">
        <is>
          <t>A small .exe or .txt file renamed to .pdf</t>
        </is>
      </c>
      <c r="H209" s="41" t="inlineStr">
        <is>
          <t>Upload it</t>
        </is>
      </c>
      <c r="I209" s="41" t="inlineStr">
        <is>
          <t>Refused: the file CONTENT is checked, not the name</t>
        </is>
      </c>
      <c r="J209" s="42" t="n"/>
      <c r="K209" s="42" t="inlineStr">
        <is>
          <t>Not Run</t>
        </is>
      </c>
      <c r="L209" s="42" t="n"/>
      <c r="M209" s="43" t="n"/>
      <c r="N209" s="42" t="n"/>
      <c r="O209" s="42" t="n"/>
    </row>
    <row r="210" ht="15" customHeight="1" s="24">
      <c r="A210" s="41" t="inlineStr">
        <is>
          <t>DOC-05</t>
        </is>
      </c>
      <c r="B210" s="41" t="inlineStr">
        <is>
          <t>Documents</t>
        </is>
      </c>
      <c r="C210" s="41" t="inlineStr">
        <is>
          <t>Upload</t>
        </is>
      </c>
      <c r="D210" s="41" t="inlineStr">
        <is>
          <t>Functional</t>
        </is>
      </c>
      <c r="E210" s="41" t="inlineStr">
        <is>
          <t>Low</t>
        </is>
      </c>
      <c r="F210" s="41" t="inlineStr">
        <is>
          <t>Admin</t>
        </is>
      </c>
      <c r="G210" s="41" t="inlineStr">
        <is>
          <t>A real PNG named scan.pdf</t>
        </is>
      </c>
      <c r="H210" s="41" t="inlineStr">
        <is>
          <t>Upload it</t>
        </is>
      </c>
      <c r="I210" s="41" t="inlineStr">
        <is>
          <t>Accepted as a PNG; downloads as scan.png</t>
        </is>
      </c>
      <c r="J210" s="42" t="n"/>
      <c r="K210" s="42" t="inlineStr">
        <is>
          <t>Not Run</t>
        </is>
      </c>
      <c r="L210" s="42" t="n"/>
      <c r="M210" s="43" t="n"/>
      <c r="N210" s="42" t="n"/>
      <c r="O210" s="42" t="n"/>
    </row>
    <row r="211" ht="15" customHeight="1" s="24">
      <c r="A211" s="41" t="inlineStr">
        <is>
          <t>DOC-06</t>
        </is>
      </c>
      <c r="B211" s="41" t="inlineStr">
        <is>
          <t>Documents</t>
        </is>
      </c>
      <c r="C211" s="41" t="inlineStr">
        <is>
          <t>Upload</t>
        </is>
      </c>
      <c r="D211" s="41" t="inlineStr">
        <is>
          <t>Negative</t>
        </is>
      </c>
      <c r="E211" s="41" t="inlineStr">
        <is>
          <t>High</t>
        </is>
      </c>
      <c r="F211" s="41" t="inlineStr">
        <is>
          <t>Admin</t>
        </is>
      </c>
      <c r="G211" s="41" t="inlineStr">
        <is>
          <t>A file over 5 MB</t>
        </is>
      </c>
      <c r="H211" s="41" t="inlineStr">
        <is>
          <t>Upload it</t>
        </is>
      </c>
      <c r="I211" s="41" t="inlineStr">
        <is>
          <t>Refused with a message showing the file size and the limit</t>
        </is>
      </c>
      <c r="J211" s="42" t="n"/>
      <c r="K211" s="42" t="inlineStr">
        <is>
          <t>Not Run</t>
        </is>
      </c>
      <c r="L211" s="42" t="n"/>
      <c r="M211" s="43" t="n"/>
      <c r="N211" s="42" t="n"/>
      <c r="O211" s="42" t="n"/>
    </row>
    <row r="212" ht="15" customHeight="1" s="24">
      <c r="A212" s="41" t="inlineStr">
        <is>
          <t>DOC-07</t>
        </is>
      </c>
      <c r="B212" s="41" t="inlineStr">
        <is>
          <t>Documents</t>
        </is>
      </c>
      <c r="C212" s="41" t="inlineStr">
        <is>
          <t>Upload</t>
        </is>
      </c>
      <c r="D212" s="41" t="inlineStr">
        <is>
          <t>Validation</t>
        </is>
      </c>
      <c r="E212" s="41" t="inlineStr">
        <is>
          <t>High</t>
        </is>
      </c>
      <c r="F212" s="41" t="inlineStr">
        <is>
          <t>Admin</t>
        </is>
      </c>
      <c r="G212" s="41" t="n"/>
      <c r="H212" s="41" t="inlineStr">
        <is>
          <t>Upload type Passport / Residence visa / Emirates ID without an expiry date</t>
        </is>
      </c>
      <c r="I212" s="41" t="inlineStr">
        <is>
          <t>Expiry date required message</t>
        </is>
      </c>
      <c r="J212" s="42" t="n"/>
      <c r="K212" s="42" t="inlineStr">
        <is>
          <t>Not Run</t>
        </is>
      </c>
      <c r="L212" s="42" t="n"/>
      <c r="M212" s="43" t="n"/>
      <c r="N212" s="42" t="n"/>
      <c r="O212" s="42" t="n"/>
    </row>
    <row r="213" ht="15" customHeight="1" s="24">
      <c r="A213" s="41" t="inlineStr">
        <is>
          <t>DOC-08</t>
        </is>
      </c>
      <c r="B213" s="41" t="inlineStr">
        <is>
          <t>Documents</t>
        </is>
      </c>
      <c r="C213" s="41" t="inlineStr">
        <is>
          <t>Upload</t>
        </is>
      </c>
      <c r="D213" s="41" t="inlineStr">
        <is>
          <t>Validation</t>
        </is>
      </c>
      <c r="E213" s="41" t="inlineStr">
        <is>
          <t>Medium</t>
        </is>
      </c>
      <c r="F213" s="41" t="inlineStr">
        <is>
          <t>Admin</t>
        </is>
      </c>
      <c r="G213" s="41" t="n"/>
      <c r="H213" s="41" t="inlineStr">
        <is>
          <t>Upload type Birth certificate (no expiry)</t>
        </is>
      </c>
      <c r="I213" s="41" t="inlineStr">
        <is>
          <t>No expiry field required</t>
        </is>
      </c>
      <c r="J213" s="42" t="n"/>
      <c r="K213" s="42" t="inlineStr">
        <is>
          <t>Not Run</t>
        </is>
      </c>
      <c r="L213" s="42" t="n"/>
      <c r="M213" s="43" t="n"/>
      <c r="N213" s="42" t="n"/>
      <c r="O213" s="42" t="n"/>
    </row>
    <row r="214" ht="15" customHeight="1" s="24">
      <c r="A214" s="41" t="inlineStr">
        <is>
          <t>DOC-09</t>
        </is>
      </c>
      <c r="B214" s="41" t="inlineStr">
        <is>
          <t>Documents</t>
        </is>
      </c>
      <c r="C214" s="41" t="inlineStr">
        <is>
          <t>Upload</t>
        </is>
      </c>
      <c r="D214" s="41" t="inlineStr">
        <is>
          <t>Negative</t>
        </is>
      </c>
      <c r="E214" s="41" t="inlineStr">
        <is>
          <t>High</t>
        </is>
      </c>
      <c r="F214" s="41" t="inlineStr">
        <is>
          <t>Admin</t>
        </is>
      </c>
      <c r="G214" s="41" t="n"/>
      <c r="H214" s="41" t="inlineStr">
        <is>
          <t>Upload the exact same file to the same student again</t>
        </is>
      </c>
      <c r="I214" s="41" t="inlineStr">
        <is>
          <t>Refused (duplicate)</t>
        </is>
      </c>
      <c r="J214" s="42" t="n"/>
      <c r="K214" s="42" t="inlineStr">
        <is>
          <t>Not Run</t>
        </is>
      </c>
      <c r="L214" s="42" t="n"/>
      <c r="M214" s="43" t="n"/>
      <c r="N214" s="42" t="n"/>
      <c r="O214" s="42" t="n"/>
    </row>
    <row r="215" ht="15" customHeight="1" s="24">
      <c r="A215" s="41" t="inlineStr">
        <is>
          <t>DOC-10</t>
        </is>
      </c>
      <c r="B215" s="41" t="inlineStr">
        <is>
          <t>Documents</t>
        </is>
      </c>
      <c r="C215" s="41" t="inlineStr">
        <is>
          <t>Upload</t>
        </is>
      </c>
      <c r="D215" s="41" t="inlineStr">
        <is>
          <t>Functional</t>
        </is>
      </c>
      <c r="E215" s="41" t="inlineStr">
        <is>
          <t>Medium</t>
        </is>
      </c>
      <c r="F215" s="41" t="inlineStr">
        <is>
          <t>Admin</t>
        </is>
      </c>
      <c r="G215" s="41" t="n"/>
      <c r="H215" s="41" t="inlineStr">
        <is>
          <t>Upload several files at once</t>
        </is>
      </c>
      <c r="I215" s="41" t="inlineStr">
        <is>
          <t>Per-file result shown (success / reason for each)</t>
        </is>
      </c>
      <c r="J215" s="42" t="n"/>
      <c r="K215" s="42" t="inlineStr">
        <is>
          <t>Not Run</t>
        </is>
      </c>
      <c r="L215" s="42" t="n"/>
      <c r="M215" s="43" t="n"/>
      <c r="N215" s="42" t="n"/>
      <c r="O215" s="42" t="n"/>
    </row>
    <row r="216" ht="15" customHeight="1" s="24">
      <c r="A216" s="41" t="inlineStr">
        <is>
          <t>DOC-11</t>
        </is>
      </c>
      <c r="B216" s="41" t="inlineStr">
        <is>
          <t>Documents</t>
        </is>
      </c>
      <c r="C216" s="41" t="inlineStr">
        <is>
          <t>Review</t>
        </is>
      </c>
      <c r="D216" s="41" t="inlineStr">
        <is>
          <t>Functional</t>
        </is>
      </c>
      <c r="E216" s="41" t="inlineStr">
        <is>
          <t>High</t>
        </is>
      </c>
      <c r="F216" s="41" t="inlineStr">
        <is>
          <t>Admin (reviewer)</t>
        </is>
      </c>
      <c r="G216" s="41" t="inlineStr">
        <is>
          <t>Document uploaded by ANOTHER user</t>
        </is>
      </c>
      <c r="H216" s="41" t="inlineStr">
        <is>
          <t>Verify the document</t>
        </is>
      </c>
      <c r="I216" s="41" t="inlineStr">
        <is>
          <t>Status Verified; reviewer and time shown</t>
        </is>
      </c>
      <c r="J216" s="42" t="n"/>
      <c r="K216" s="42" t="inlineStr">
        <is>
          <t>Not Run</t>
        </is>
      </c>
      <c r="L216" s="42" t="n"/>
      <c r="M216" s="43" t="n"/>
      <c r="N216" s="42" t="n"/>
      <c r="O216" s="42" t="n"/>
    </row>
    <row r="217" ht="15" customHeight="1" s="24">
      <c r="A217" s="41" t="inlineStr">
        <is>
          <t>DOC-12</t>
        </is>
      </c>
      <c r="B217" s="41" t="inlineStr">
        <is>
          <t>Documents</t>
        </is>
      </c>
      <c r="C217" s="41" t="inlineStr">
        <is>
          <t>Review</t>
        </is>
      </c>
      <c r="D217" s="41" t="inlineStr">
        <is>
          <t>Functional</t>
        </is>
      </c>
      <c r="E217" s="41" t="inlineStr">
        <is>
          <t>High</t>
        </is>
      </c>
      <c r="F217" s="41" t="inlineStr">
        <is>
          <t>Admin (reviewer)</t>
        </is>
      </c>
      <c r="G217" s="41" t="n"/>
      <c r="H217" s="41" t="inlineStr">
        <is>
          <t>Reject a document</t>
        </is>
      </c>
      <c r="I217" s="41" t="inlineStr">
        <is>
          <t>Reason required; status Rejected; reason visible</t>
        </is>
      </c>
      <c r="J217" s="42" t="n"/>
      <c r="K217" s="42" t="inlineStr">
        <is>
          <t>Not Run</t>
        </is>
      </c>
      <c r="L217" s="42" t="n"/>
      <c r="M217" s="43" t="n"/>
      <c r="N217" s="42" t="n"/>
      <c r="O217" s="42" t="n"/>
    </row>
    <row r="218" ht="15" customHeight="1" s="24">
      <c r="A218" s="41" t="inlineStr">
        <is>
          <t>DOC-13</t>
        </is>
      </c>
      <c r="B218" s="41" t="inlineStr">
        <is>
          <t>Documents</t>
        </is>
      </c>
      <c r="C218" s="41" t="inlineStr">
        <is>
          <t>Review</t>
        </is>
      </c>
      <c r="D218" s="41" t="inlineStr">
        <is>
          <t>Negative</t>
        </is>
      </c>
      <c r="E218" s="41" t="inlineStr">
        <is>
          <t>High</t>
        </is>
      </c>
      <c r="F218" s="41" t="inlineStr">
        <is>
          <t>Custom role with Documents.Verify (NOT Admin)</t>
        </is>
      </c>
      <c r="G218" s="41" t="inlineStr">
        <is>
          <t>Document uploaded by yourself</t>
        </is>
      </c>
      <c r="H218" s="41" t="inlineStr">
        <is>
          <t>Try to verify or reject your own upload</t>
        </is>
      </c>
      <c r="I218" s="41" t="inlineStr">
        <is>
          <t>Refused: 'You uploaded this document, so someone else must verify or reject it.' (An Admin may review their own upload: see DOC-24.)</t>
        </is>
      </c>
      <c r="J218" s="42" t="n"/>
      <c r="K218" s="42" t="inlineStr">
        <is>
          <t>Not Run</t>
        </is>
      </c>
      <c r="L218" s="42" t="n"/>
      <c r="M218" s="43" t="n"/>
      <c r="N218" s="42" t="n"/>
      <c r="O218" s="42" t="n"/>
    </row>
    <row r="219" ht="15" customHeight="1" s="24">
      <c r="A219" s="41" t="inlineStr">
        <is>
          <t>DOC-14</t>
        </is>
      </c>
      <c r="B219" s="41" t="inlineStr">
        <is>
          <t>Documents</t>
        </is>
      </c>
      <c r="C219" s="41" t="inlineStr">
        <is>
          <t>Review</t>
        </is>
      </c>
      <c r="D219" s="41" t="inlineStr">
        <is>
          <t>Functional</t>
        </is>
      </c>
      <c r="E219" s="41" t="inlineStr">
        <is>
          <t>Medium</t>
        </is>
      </c>
      <c r="F219" s="41" t="inlineStr">
        <is>
          <t>Admin (reviewer)</t>
        </is>
      </c>
      <c r="G219" s="41" t="inlineStr">
        <is>
          <t>Verified document</t>
        </is>
      </c>
      <c r="H219" s="41" t="inlineStr">
        <is>
          <t>Unverify</t>
        </is>
      </c>
      <c r="I219" s="41" t="inlineStr">
        <is>
          <t>Back to Pending</t>
        </is>
      </c>
      <c r="J219" s="42" t="n"/>
      <c r="K219" s="42" t="inlineStr">
        <is>
          <t>Not Run</t>
        </is>
      </c>
      <c r="L219" s="42" t="n"/>
      <c r="M219" s="43" t="n"/>
      <c r="N219" s="42" t="n"/>
      <c r="O219" s="42" t="n"/>
    </row>
    <row r="220" ht="15" customHeight="1" s="24">
      <c r="A220" s="41" t="inlineStr">
        <is>
          <t>DOC-15</t>
        </is>
      </c>
      <c r="B220" s="41" t="inlineStr">
        <is>
          <t>Documents</t>
        </is>
      </c>
      <c r="C220" s="41" t="inlineStr">
        <is>
          <t>Review</t>
        </is>
      </c>
      <c r="D220" s="41" t="inlineStr">
        <is>
          <t>Negative</t>
        </is>
      </c>
      <c r="E220" s="41" t="inlineStr">
        <is>
          <t>Medium</t>
        </is>
      </c>
      <c r="F220" s="41" t="inlineStr">
        <is>
          <t>Admin (reviewer)</t>
        </is>
      </c>
      <c r="G220" s="41" t="inlineStr">
        <is>
          <t>Rejected document</t>
        </is>
      </c>
      <c r="H220" s="41" t="inlineStr">
        <is>
          <t>Look for a way to reopen it</t>
        </is>
      </c>
      <c r="I220" s="41" t="inlineStr">
        <is>
          <t>Not reopened; upload a new document instead</t>
        </is>
      </c>
      <c r="J220" s="42" t="n"/>
      <c r="K220" s="42" t="inlineStr">
        <is>
          <t>Not Run</t>
        </is>
      </c>
      <c r="L220" s="42" t="n"/>
      <c r="M220" s="43" t="n"/>
      <c r="N220" s="42" t="n"/>
      <c r="O220" s="42" t="n"/>
    </row>
    <row r="221" ht="15" customHeight="1" s="24">
      <c r="A221" s="41" t="inlineStr">
        <is>
          <t>DOC-16</t>
        </is>
      </c>
      <c r="B221" s="41" t="inlineStr">
        <is>
          <t>Documents</t>
        </is>
      </c>
      <c r="C221" s="41" t="inlineStr">
        <is>
          <t>Delete</t>
        </is>
      </c>
      <c r="D221" s="41" t="inlineStr">
        <is>
          <t>Negative</t>
        </is>
      </c>
      <c r="E221" s="41" t="inlineStr">
        <is>
          <t>High</t>
        </is>
      </c>
      <c r="F221" s="41" t="inlineStr">
        <is>
          <t>Admin</t>
        </is>
      </c>
      <c r="G221" s="41" t="inlineStr">
        <is>
          <t>Verified document</t>
        </is>
      </c>
      <c r="H221" s="41" t="inlineStr">
        <is>
          <t>Delete it</t>
        </is>
      </c>
      <c r="I221" s="41" t="inlineStr">
        <is>
          <t>Refused: 'Unverify it first'</t>
        </is>
      </c>
      <c r="J221" s="42" t="n"/>
      <c r="K221" s="42" t="inlineStr">
        <is>
          <t>Not Run</t>
        </is>
      </c>
      <c r="L221" s="42" t="n"/>
      <c r="M221" s="43" t="n"/>
      <c r="N221" s="42" t="n"/>
      <c r="O221" s="42" t="n"/>
    </row>
    <row r="222" ht="15" customHeight="1" s="24">
      <c r="A222" s="41" t="inlineStr">
        <is>
          <t>DOC-17</t>
        </is>
      </c>
      <c r="B222" s="41" t="inlineStr">
        <is>
          <t>Documents</t>
        </is>
      </c>
      <c r="C222" s="41" t="inlineStr">
        <is>
          <t>Delete</t>
        </is>
      </c>
      <c r="D222" s="41" t="inlineStr">
        <is>
          <t>Functional</t>
        </is>
      </c>
      <c r="E222" s="41" t="inlineStr">
        <is>
          <t>Medium</t>
        </is>
      </c>
      <c r="F222" s="41" t="inlineStr">
        <is>
          <t>Admin</t>
        </is>
      </c>
      <c r="G222" s="41" t="inlineStr">
        <is>
          <t>Pending document</t>
        </is>
      </c>
      <c r="H222" s="41" t="inlineStr">
        <is>
          <t>Delete it</t>
        </is>
      </c>
      <c r="I222" s="41" t="inlineStr">
        <is>
          <t>Confirm, removed from the list</t>
        </is>
      </c>
      <c r="J222" s="42" t="n"/>
      <c r="K222" s="42" t="inlineStr">
        <is>
          <t>Not Run</t>
        </is>
      </c>
      <c r="L222" s="42" t="n"/>
      <c r="M222" s="43" t="n"/>
      <c r="N222" s="42" t="n"/>
      <c r="O222" s="42" t="n"/>
    </row>
    <row r="223" ht="15" customHeight="1" s="24">
      <c r="A223" s="41" t="inlineStr">
        <is>
          <t>DOC-18</t>
        </is>
      </c>
      <c r="B223" s="41" t="inlineStr">
        <is>
          <t>Documents</t>
        </is>
      </c>
      <c r="C223" s="41" t="inlineStr">
        <is>
          <t>Download</t>
        </is>
      </c>
      <c r="D223" s="41" t="inlineStr">
        <is>
          <t>Functional</t>
        </is>
      </c>
      <c r="E223" s="41" t="inlineStr">
        <is>
          <t>High</t>
        </is>
      </c>
      <c r="F223" s="41" t="inlineStr">
        <is>
          <t>Admin</t>
        </is>
      </c>
      <c r="G223" s="41" t="n"/>
      <c r="H223" s="41" t="inlineStr">
        <is>
          <t>Download a document</t>
        </is>
      </c>
      <c r="I223" s="41" t="inlineStr">
        <is>
          <t>File opens correctly and matches what was uploaded</t>
        </is>
      </c>
      <c r="J223" s="42" t="n"/>
      <c r="K223" s="42" t="inlineStr">
        <is>
          <t>Not Run</t>
        </is>
      </c>
      <c r="L223" s="42" t="n"/>
      <c r="M223" s="43" t="n"/>
      <c r="N223" s="42" t="n"/>
      <c r="O223" s="42" t="n"/>
    </row>
    <row r="224" ht="57" customHeight="1" s="24">
      <c r="A224" s="41" t="inlineStr">
        <is>
          <t>DOC-19</t>
        </is>
      </c>
      <c r="B224" s="41" t="inlineStr">
        <is>
          <t>Documents</t>
        </is>
      </c>
      <c r="C224" s="41" t="inlineStr">
        <is>
          <t>Download</t>
        </is>
      </c>
      <c r="D224" s="41" t="inlineStr">
        <is>
          <t>Security</t>
        </is>
      </c>
      <c r="E224" s="41" t="inlineStr">
        <is>
          <t>High</t>
        </is>
      </c>
      <c r="F224" s="41" t="inlineStr">
        <is>
          <t>User with Documents.View but not Students.ViewSensitive</t>
        </is>
      </c>
      <c r="G224" s="41" t="inlineStr">
        <is>
          <t>Document of a sensitive type (Passport, Emirates ID, Aadhaar, Medical record, ...)</t>
        </is>
      </c>
      <c r="H224" s="41" t="inlineStr">
        <is>
          <t>Try to download</t>
        </is>
      </c>
      <c r="I224" s="41" t="inlineStr">
        <is>
          <t>Refused (403)</t>
        </is>
      </c>
      <c r="J224" s="42" t="n"/>
      <c r="K224" s="42" t="inlineStr">
        <is>
          <t>Not Run</t>
        </is>
      </c>
      <c r="L224" s="42" t="n"/>
      <c r="M224" s="43" t="n"/>
      <c r="N224" s="42" t="n"/>
      <c r="O224" s="42" t="n"/>
    </row>
    <row r="225" ht="23.25" customHeight="1" s="24">
      <c r="A225" s="41" t="inlineStr">
        <is>
          <t>DOC-20</t>
        </is>
      </c>
      <c r="B225" s="41" t="inlineStr">
        <is>
          <t>Documents</t>
        </is>
      </c>
      <c r="C225" s="41" t="inlineStr">
        <is>
          <t>Expiry</t>
        </is>
      </c>
      <c r="D225" s="41" t="inlineStr">
        <is>
          <t>Functional</t>
        </is>
      </c>
      <c r="E225" s="41" t="inlineStr">
        <is>
          <t>Medium</t>
        </is>
      </c>
      <c r="F225" s="41" t="inlineStr">
        <is>
          <t>Admin</t>
        </is>
      </c>
      <c r="G225" s="41" t="inlineStr">
        <is>
          <t>Documents with expiry dates in the past / next 30 days</t>
        </is>
      </c>
      <c r="H225" s="41" t="inlineStr">
        <is>
          <t>Filter Expired and Expiring soon</t>
        </is>
      </c>
      <c r="I225" s="41" t="inlineStr">
        <is>
          <t>Correct documents listed in each filter</t>
        </is>
      </c>
      <c r="J225" s="42" t="n"/>
      <c r="K225" s="42" t="inlineStr">
        <is>
          <t>Not Run</t>
        </is>
      </c>
      <c r="L225" s="42" t="n"/>
      <c r="M225" s="43" t="n"/>
      <c r="N225" s="42" t="n"/>
      <c r="O225" s="42" t="n"/>
    </row>
    <row r="226" ht="15" customHeight="1" s="24">
      <c r="A226" s="41" t="inlineStr">
        <is>
          <t>DOC-21</t>
        </is>
      </c>
      <c r="B226" s="41" t="inlineStr">
        <is>
          <t>Documents</t>
        </is>
      </c>
      <c r="C226" s="41" t="inlineStr">
        <is>
          <t>Permissions</t>
        </is>
      </c>
      <c r="D226" s="41" t="inlineStr">
        <is>
          <t>Security</t>
        </is>
      </c>
      <c r="E226" s="41" t="inlineStr">
        <is>
          <t>High</t>
        </is>
      </c>
      <c r="F226" s="41" t="inlineStr">
        <is>
          <t>Clerk / Teacher</t>
        </is>
      </c>
      <c r="G226" s="41" t="inlineStr">
        <is>
          <t>Role without Documents permissions</t>
        </is>
      </c>
      <c r="H226" s="41" t="inlineStr">
        <is>
          <t>Open Documents or a student's Documents tab</t>
        </is>
      </c>
      <c r="I226" s="41" t="inlineStr">
        <is>
          <t>No documents shown / no access; API refuses (403)</t>
        </is>
      </c>
      <c r="J226" s="42" t="n"/>
      <c r="K226" s="42" t="inlineStr">
        <is>
          <t>Not Run</t>
        </is>
      </c>
      <c r="L226" s="42" t="n"/>
      <c r="M226" s="43" t="n"/>
      <c r="N226" s="42" t="n"/>
      <c r="O226" s="42" t="n"/>
    </row>
    <row r="227" ht="23.25" customHeight="1" s="24">
      <c r="A227" s="41" t="inlineStr">
        <is>
          <t>DOC-22</t>
        </is>
      </c>
      <c r="B227" s="41" t="inlineStr">
        <is>
          <t>Documents</t>
        </is>
      </c>
      <c r="C227" s="41" t="inlineStr">
        <is>
          <t>Applications</t>
        </is>
      </c>
      <c r="D227" s="41" t="inlineStr">
        <is>
          <t>Functional</t>
        </is>
      </c>
      <c r="E227" s="41" t="inlineStr">
        <is>
          <t>Medium</t>
        </is>
      </c>
      <c r="F227" s="41" t="inlineStr">
        <is>
          <t>Admin</t>
        </is>
      </c>
      <c r="G227" s="41" t="inlineStr">
        <is>
          <t>Application with documents</t>
        </is>
      </c>
      <c r="H227" s="41" t="inlineStr">
        <is>
          <t>Enrol the application</t>
        </is>
      </c>
      <c r="I227" s="41" t="inlineStr">
        <is>
          <t>Record what happens to the documents (expected: visible on the new student record)</t>
        </is>
      </c>
      <c r="J227" s="42" t="n"/>
      <c r="K227" s="42" t="inlineStr">
        <is>
          <t>Not Run</t>
        </is>
      </c>
      <c r="L227" s="42" t="n"/>
      <c r="M227" s="43" t="n"/>
      <c r="N227" s="42" t="n"/>
      <c r="O227" s="42" t="n"/>
    </row>
    <row r="228" ht="15" customHeight="1" s="24">
      <c r="A228" s="41" t="inlineStr">
        <is>
          <t>DOC-23</t>
        </is>
      </c>
      <c r="B228" s="41" t="inlineStr">
        <is>
          <t>Documents</t>
        </is>
      </c>
      <c r="C228" s="41" t="inlineStr">
        <is>
          <t>Applications</t>
        </is>
      </c>
      <c r="D228" s="41" t="inlineStr">
        <is>
          <t>Negative</t>
        </is>
      </c>
      <c r="E228" s="41" t="inlineStr">
        <is>
          <t>Medium</t>
        </is>
      </c>
      <c r="F228" s="41" t="inlineStr">
        <is>
          <t>Admin</t>
        </is>
      </c>
      <c r="G228" s="41" t="inlineStr">
        <is>
          <t>Enrolled application</t>
        </is>
      </c>
      <c r="H228" s="41" t="inlineStr">
        <is>
          <t>Try to upload a document to the application</t>
        </is>
      </c>
      <c r="I228" s="41" t="inlineStr">
        <is>
          <t>Refused (it is already a student)</t>
        </is>
      </c>
      <c r="J228" s="42" t="n"/>
      <c r="K228" s="42" t="inlineStr">
        <is>
          <t>Not Run</t>
        </is>
      </c>
      <c r="L228" s="42" t="n"/>
      <c r="M228" s="43" t="n"/>
      <c r="N228" s="42" t="n"/>
      <c r="O228" s="42" t="n"/>
    </row>
    <row r="229" ht="23.25" customHeight="1" s="24">
      <c r="A229" s="41" t="inlineStr">
        <is>
          <t>USR-01</t>
        </is>
      </c>
      <c r="B229" s="41" t="inlineStr">
        <is>
          <t>Users &amp; Staff</t>
        </is>
      </c>
      <c r="C229" s="41" t="inlineStr">
        <is>
          <t>List</t>
        </is>
      </c>
      <c r="D229" s="41" t="inlineStr">
        <is>
          <t>Functional</t>
        </is>
      </c>
      <c r="E229" s="41" t="inlineStr">
        <is>
          <t>High</t>
        </is>
      </c>
      <c r="F229" s="41" t="inlineStr">
        <is>
          <t>Admin</t>
        </is>
      </c>
      <c r="G229" s="41" t="n"/>
      <c r="H229" s="41" t="inlineStr">
        <is>
          <t>Open Users &amp; Staff</t>
        </is>
      </c>
      <c r="I229" s="41" t="inlineStr">
        <is>
          <t>List loads with name, username, role, status, last login; filters/search work</t>
        </is>
      </c>
      <c r="J229" s="42" t="n"/>
      <c r="K229" s="42" t="inlineStr">
        <is>
          <t>Not Run</t>
        </is>
      </c>
      <c r="L229" s="42" t="n"/>
      <c r="M229" s="43" t="n"/>
      <c r="N229" s="42" t="n"/>
      <c r="O229" s="42" t="n"/>
    </row>
    <row r="230" ht="23.25" customHeight="1" s="24">
      <c r="A230" s="41" t="inlineStr">
        <is>
          <t>USR-02</t>
        </is>
      </c>
      <c r="B230" s="41" t="inlineStr">
        <is>
          <t>Users &amp; Staff</t>
        </is>
      </c>
      <c r="C230" s="41" t="inlineStr">
        <is>
          <t>Create</t>
        </is>
      </c>
      <c r="D230" s="41" t="inlineStr">
        <is>
          <t>Functional</t>
        </is>
      </c>
      <c r="E230" s="41" t="inlineStr">
        <is>
          <t>High</t>
        </is>
      </c>
      <c r="F230" s="41" t="inlineStr">
        <is>
          <t>Admin</t>
        </is>
      </c>
      <c r="G230" s="41" t="n"/>
      <c r="H230" s="41" t="inlineStr">
        <is>
          <t>New user: username, e-mail, role (e.g. Clerk), full name, gender, mobile, joining date, temporary password</t>
        </is>
      </c>
      <c r="I230" s="41" t="inlineStr">
        <is>
          <t>Created; appears in list; status Active</t>
        </is>
      </c>
      <c r="J230" s="42" t="n"/>
      <c r="K230" s="42" t="inlineStr">
        <is>
          <t>Not Run</t>
        </is>
      </c>
      <c r="L230" s="42" t="n"/>
      <c r="M230" s="43" t="n"/>
      <c r="N230" s="42" t="n"/>
      <c r="O230" s="42" t="n"/>
    </row>
    <row r="231" ht="15" customHeight="1" s="24">
      <c r="A231" s="41" t="inlineStr">
        <is>
          <t>USR-03</t>
        </is>
      </c>
      <c r="B231" s="41" t="inlineStr">
        <is>
          <t>Users &amp; Staff</t>
        </is>
      </c>
      <c r="C231" s="41" t="inlineStr">
        <is>
          <t>Create</t>
        </is>
      </c>
      <c r="D231" s="41" t="inlineStr">
        <is>
          <t>Functional</t>
        </is>
      </c>
      <c r="E231" s="41" t="inlineStr">
        <is>
          <t>High</t>
        </is>
      </c>
      <c r="F231" s="41" t="inlineStr">
        <is>
          <t>Admin</t>
        </is>
      </c>
      <c r="G231" s="41" t="n"/>
      <c r="H231" s="41" t="inlineStr">
        <is>
          <t>Log in as the new user with the temporary password</t>
        </is>
      </c>
      <c r="I231" s="41" t="inlineStr">
        <is>
          <t>Forced to change password before anything else</t>
        </is>
      </c>
      <c r="J231" s="42" t="n"/>
      <c r="K231" s="42" t="inlineStr">
        <is>
          <t>Not Run</t>
        </is>
      </c>
      <c r="L231" s="42" t="n"/>
      <c r="M231" s="43" t="n"/>
      <c r="N231" s="42" t="n"/>
      <c r="O231" s="42" t="n"/>
    </row>
    <row r="232" ht="15" customHeight="1" s="24">
      <c r="A232" s="41" t="inlineStr">
        <is>
          <t>USR-04</t>
        </is>
      </c>
      <c r="B232" s="41" t="inlineStr">
        <is>
          <t>Users &amp; Staff</t>
        </is>
      </c>
      <c r="C232" s="41" t="inlineStr">
        <is>
          <t>Create</t>
        </is>
      </c>
      <c r="D232" s="41" t="inlineStr">
        <is>
          <t>Validation</t>
        </is>
      </c>
      <c r="E232" s="41" t="inlineStr">
        <is>
          <t>High</t>
        </is>
      </c>
      <c r="F232" s="41" t="inlineStr">
        <is>
          <t>Admin</t>
        </is>
      </c>
      <c r="G232" s="41" t="n"/>
      <c r="H232" s="41" t="inlineStr">
        <is>
          <t>Leave required fields empty / weak password / bad e-mail</t>
        </is>
      </c>
      <c r="I232" s="41" t="inlineStr">
        <is>
          <t>Clear messages; nothing created</t>
        </is>
      </c>
      <c r="J232" s="42" t="n"/>
      <c r="K232" s="42" t="inlineStr">
        <is>
          <t>Not Run</t>
        </is>
      </c>
      <c r="L232" s="42" t="n"/>
      <c r="M232" s="43" t="n"/>
      <c r="N232" s="42" t="n"/>
      <c r="O232" s="42" t="n"/>
    </row>
    <row r="233" ht="15" customHeight="1" s="24">
      <c r="A233" s="41" t="inlineStr">
        <is>
          <t>USR-05</t>
        </is>
      </c>
      <c r="B233" s="41" t="inlineStr">
        <is>
          <t>Users &amp; Staff</t>
        </is>
      </c>
      <c r="C233" s="41" t="inlineStr">
        <is>
          <t>Create</t>
        </is>
      </c>
      <c r="D233" s="41" t="inlineStr">
        <is>
          <t>Negative</t>
        </is>
      </c>
      <c r="E233" s="41" t="inlineStr">
        <is>
          <t>High</t>
        </is>
      </c>
      <c r="F233" s="41" t="inlineStr">
        <is>
          <t>Admin</t>
        </is>
      </c>
      <c r="G233" s="41" t="n"/>
      <c r="H233" s="41" t="inlineStr">
        <is>
          <t>Reuse an existing username or e-mail</t>
        </is>
      </c>
      <c r="I233" s="41" t="inlineStr">
        <is>
          <t>Error modal about duplicate</t>
        </is>
      </c>
      <c r="J233" s="42" t="n"/>
      <c r="K233" s="42" t="inlineStr">
        <is>
          <t>Not Run</t>
        </is>
      </c>
      <c r="L233" s="42" t="n"/>
      <c r="M233" s="43" t="n"/>
      <c r="N233" s="42" t="n"/>
      <c r="O233" s="42" t="n"/>
    </row>
    <row r="234" ht="15" customHeight="1" s="24">
      <c r="A234" s="41" t="inlineStr">
        <is>
          <t>USR-06</t>
        </is>
      </c>
      <c r="B234" s="41" t="inlineStr">
        <is>
          <t>Users &amp; Staff</t>
        </is>
      </c>
      <c r="C234" s="41" t="inlineStr">
        <is>
          <t>Create</t>
        </is>
      </c>
      <c r="D234" s="41" t="inlineStr">
        <is>
          <t>Negative</t>
        </is>
      </c>
      <c r="E234" s="41" t="inlineStr">
        <is>
          <t>Medium</t>
        </is>
      </c>
      <c r="F234" s="41" t="inlineStr">
        <is>
          <t>Admin</t>
        </is>
      </c>
      <c r="G234" s="41" t="n"/>
      <c r="H234" s="41" t="inlineStr">
        <is>
          <t>Try to create a user with role Student or Parent</t>
        </is>
      </c>
      <c r="I234" s="41" t="inlineStr">
        <is>
          <t>Not offered / refused (portal logins are not built yet)</t>
        </is>
      </c>
      <c r="J234" s="42" t="n"/>
      <c r="K234" s="42" t="inlineStr">
        <is>
          <t>Not Run</t>
        </is>
      </c>
      <c r="L234" s="42" t="n"/>
      <c r="M234" s="43" t="n"/>
      <c r="N234" s="42" t="n"/>
      <c r="O234" s="42" t="n"/>
    </row>
    <row r="235" ht="23.25" customHeight="1" s="24">
      <c r="A235" s="41" t="inlineStr">
        <is>
          <t>USR-07</t>
        </is>
      </c>
      <c r="B235" s="41" t="inlineStr">
        <is>
          <t>Users &amp; Staff</t>
        </is>
      </c>
      <c r="C235" s="41" t="inlineStr">
        <is>
          <t>Create</t>
        </is>
      </c>
      <c r="D235" s="41" t="inlineStr">
        <is>
          <t>Functional</t>
        </is>
      </c>
      <c r="E235" s="41" t="inlineStr">
        <is>
          <t>High</t>
        </is>
      </c>
      <c r="F235" s="41" t="inlineStr">
        <is>
          <t>Admin</t>
        </is>
      </c>
      <c r="G235" s="41" t="n"/>
      <c r="H235" s="41" t="inlineStr">
        <is>
          <t>Create a user with role Teacher</t>
        </is>
      </c>
      <c r="I235" s="41" t="inlineStr">
        <is>
          <t>Teacher also appears in the Teachers page and can be given assignments at once</t>
        </is>
      </c>
      <c r="J235" s="42" t="n"/>
      <c r="K235" s="42" t="inlineStr">
        <is>
          <t>Not Run</t>
        </is>
      </c>
      <c r="L235" s="42" t="n"/>
      <c r="M235" s="43" t="n"/>
      <c r="N235" s="42" t="n"/>
      <c r="O235" s="42" t="n"/>
    </row>
    <row r="236" ht="15" customHeight="1" s="24">
      <c r="A236" s="41" t="inlineStr">
        <is>
          <t>USR-08</t>
        </is>
      </c>
      <c r="B236" s="41" t="inlineStr">
        <is>
          <t>Users &amp; Staff</t>
        </is>
      </c>
      <c r="C236" s="41" t="inlineStr">
        <is>
          <t>Edit</t>
        </is>
      </c>
      <c r="D236" s="41" t="inlineStr">
        <is>
          <t>Functional</t>
        </is>
      </c>
      <c r="E236" s="41" t="inlineStr">
        <is>
          <t>High</t>
        </is>
      </c>
      <c r="F236" s="41" t="inlineStr">
        <is>
          <t>Admin</t>
        </is>
      </c>
      <c r="G236" s="41" t="n"/>
      <c r="H236" s="41" t="inlineStr">
        <is>
          <t>Edit another user's username, e-mail, profile fields</t>
        </is>
      </c>
      <c r="I236" s="41" t="inlineStr">
        <is>
          <t>Saved and shown on the detail page</t>
        </is>
      </c>
      <c r="J236" s="42" t="n"/>
      <c r="K236" s="42" t="inlineStr">
        <is>
          <t>Not Run</t>
        </is>
      </c>
      <c r="L236" s="42" t="n"/>
      <c r="M236" s="43" t="n"/>
      <c r="N236" s="42" t="n"/>
      <c r="O236" s="42" t="n"/>
    </row>
    <row r="237" ht="23.25" customHeight="1" s="24">
      <c r="A237" s="41" t="inlineStr">
        <is>
          <t>USR-09</t>
        </is>
      </c>
      <c r="B237" s="41" t="inlineStr">
        <is>
          <t>Users &amp; Staff</t>
        </is>
      </c>
      <c r="C237" s="41" t="inlineStr">
        <is>
          <t>Edit</t>
        </is>
      </c>
      <c r="D237" s="41" t="inlineStr">
        <is>
          <t>Functional</t>
        </is>
      </c>
      <c r="E237" s="41" t="inlineStr">
        <is>
          <t>High</t>
        </is>
      </c>
      <c r="F237" s="41" t="inlineStr">
        <is>
          <t>Admin</t>
        </is>
      </c>
      <c r="G237" s="41" t="inlineStr">
        <is>
          <t>Logged-in target user</t>
        </is>
      </c>
      <c r="H237" s="41" t="inlineStr">
        <is>
          <t>Change a user's role; that user's next request</t>
        </is>
      </c>
      <c r="I237" s="41" t="inlineStr">
        <is>
          <t>New role's permissions apply on their next request (menus and access change)</t>
        </is>
      </c>
      <c r="J237" s="42" t="n"/>
      <c r="K237" s="42" t="inlineStr">
        <is>
          <t>Not Run</t>
        </is>
      </c>
      <c r="L237" s="42" t="n"/>
      <c r="M237" s="43" t="n"/>
      <c r="N237" s="42" t="n"/>
      <c r="O237" s="42" t="n"/>
    </row>
    <row r="238" ht="15" customHeight="1" s="24">
      <c r="A238" s="41" t="inlineStr">
        <is>
          <t>USR-10</t>
        </is>
      </c>
      <c r="B238" s="41" t="inlineStr">
        <is>
          <t>Users &amp; Staff</t>
        </is>
      </c>
      <c r="C238" s="41" t="inlineStr">
        <is>
          <t>Edit</t>
        </is>
      </c>
      <c r="D238" s="41" t="inlineStr">
        <is>
          <t>Negative</t>
        </is>
      </c>
      <c r="E238" s="41" t="inlineStr">
        <is>
          <t>High</t>
        </is>
      </c>
      <c r="F238" s="41" t="inlineStr">
        <is>
          <t>Admin</t>
        </is>
      </c>
      <c r="G238" s="41" t="n"/>
      <c r="H238" s="41" t="inlineStr">
        <is>
          <t>Change YOUR OWN role, status, or delete yourself</t>
        </is>
      </c>
      <c r="I238" s="41" t="inlineStr">
        <is>
          <t>Refused ('use My Account')</t>
        </is>
      </c>
      <c r="J238" s="42" t="n"/>
      <c r="K238" s="42" t="inlineStr">
        <is>
          <t>Not Run</t>
        </is>
      </c>
      <c r="L238" s="42" t="n"/>
      <c r="M238" s="43" t="n"/>
      <c r="N238" s="42" t="n"/>
      <c r="O238" s="42" t="n"/>
    </row>
    <row r="239" ht="15" customHeight="1" s="24">
      <c r="A239" s="41" t="inlineStr">
        <is>
          <t>USR-11</t>
        </is>
      </c>
      <c r="B239" s="41" t="inlineStr">
        <is>
          <t>Users &amp; Staff</t>
        </is>
      </c>
      <c r="C239" s="41" t="inlineStr">
        <is>
          <t>Edit</t>
        </is>
      </c>
      <c r="D239" s="41" t="inlineStr">
        <is>
          <t>Negative</t>
        </is>
      </c>
      <c r="E239" s="41" t="inlineStr">
        <is>
          <t>Medium</t>
        </is>
      </c>
      <c r="F239" s="41" t="inlineStr">
        <is>
          <t>Admin</t>
        </is>
      </c>
      <c r="G239" s="41" t="inlineStr">
        <is>
          <t>Teacher with subject assignments</t>
        </is>
      </c>
      <c r="H239" s="41" t="inlineStr">
        <is>
          <t>Change that user's role away from Teacher</t>
        </is>
      </c>
      <c r="I239" s="41" t="inlineStr">
        <is>
          <t>Refused while assignments exist</t>
        </is>
      </c>
      <c r="J239" s="42" t="n"/>
      <c r="K239" s="42" t="inlineStr">
        <is>
          <t>Not Run</t>
        </is>
      </c>
      <c r="L239" s="42" t="n"/>
      <c r="M239" s="43" t="n"/>
      <c r="N239" s="42" t="n"/>
      <c r="O239" s="42" t="n"/>
    </row>
    <row r="240" ht="15" customHeight="1" s="24">
      <c r="A240" s="41" t="inlineStr">
        <is>
          <t>USR-12</t>
        </is>
      </c>
      <c r="B240" s="41" t="inlineStr">
        <is>
          <t>Users &amp; Staff</t>
        </is>
      </c>
      <c r="C240" s="41" t="inlineStr">
        <is>
          <t>Status</t>
        </is>
      </c>
      <c r="D240" s="41" t="inlineStr">
        <is>
          <t>Security</t>
        </is>
      </c>
      <c r="E240" s="41" t="inlineStr">
        <is>
          <t>High</t>
        </is>
      </c>
      <c r="F240" s="41" t="inlineStr">
        <is>
          <t>Admin</t>
        </is>
      </c>
      <c r="G240" s="41" t="inlineStr">
        <is>
          <t>Target user logged in elsewhere</t>
        </is>
      </c>
      <c r="H240" s="41" t="inlineStr">
        <is>
          <t>Set status to Inactive, then Suspended</t>
        </is>
      </c>
      <c r="I240" s="41" t="inlineStr">
        <is>
          <t>Target is signed out; cannot log in until Active again</t>
        </is>
      </c>
      <c r="J240" s="42" t="n"/>
      <c r="K240" s="42" t="inlineStr">
        <is>
          <t>Not Run</t>
        </is>
      </c>
      <c r="L240" s="42" t="n"/>
      <c r="M240" s="43" t="n"/>
      <c r="N240" s="42" t="n"/>
      <c r="O240" s="42" t="n"/>
    </row>
    <row r="241" ht="15" customHeight="1" s="24">
      <c r="A241" s="41" t="inlineStr">
        <is>
          <t>USR-13</t>
        </is>
      </c>
      <c r="B241" s="41" t="inlineStr">
        <is>
          <t>Users &amp; Staff</t>
        </is>
      </c>
      <c r="C241" s="41" t="inlineStr">
        <is>
          <t>Status</t>
        </is>
      </c>
      <c r="D241" s="41" t="inlineStr">
        <is>
          <t>Negative</t>
        </is>
      </c>
      <c r="E241" s="41" t="inlineStr">
        <is>
          <t>High</t>
        </is>
      </c>
      <c r="F241" s="41" t="inlineStr">
        <is>
          <t>Admin</t>
        </is>
      </c>
      <c r="G241" s="41" t="inlineStr">
        <is>
          <t>Only one active Admin</t>
        </is>
      </c>
      <c r="H241" s="41" t="inlineStr">
        <is>
          <t>Try to deactivate, suspend, demote or delete the last active Admin</t>
        </is>
      </c>
      <c r="I241" s="41" t="inlineStr">
        <is>
          <t>Refused with a clear message</t>
        </is>
      </c>
      <c r="J241" s="42" t="n"/>
      <c r="K241" s="42" t="inlineStr">
        <is>
          <t>Not Run</t>
        </is>
      </c>
      <c r="L241" s="42" t="n"/>
      <c r="M241" s="43" t="n"/>
      <c r="N241" s="42" t="n"/>
      <c r="O241" s="42" t="n"/>
    </row>
    <row r="242" ht="23.25" customHeight="1" s="24">
      <c r="A242" s="41" t="inlineStr">
        <is>
          <t>USR-14</t>
        </is>
      </c>
      <c r="B242" s="41" t="inlineStr">
        <is>
          <t>Users &amp; Staff</t>
        </is>
      </c>
      <c r="C242" s="41" t="inlineStr">
        <is>
          <t>Reset password</t>
        </is>
      </c>
      <c r="D242" s="41" t="inlineStr">
        <is>
          <t>Functional</t>
        </is>
      </c>
      <c r="E242" s="41" t="inlineStr">
        <is>
          <t>High</t>
        </is>
      </c>
      <c r="F242" s="41" t="inlineStr">
        <is>
          <t>Admin</t>
        </is>
      </c>
      <c r="G242" s="41" t="n"/>
      <c r="H242" s="41" t="inlineStr">
        <is>
          <t>Reset a user's password</t>
        </is>
      </c>
      <c r="I242" s="41" t="inlineStr">
        <is>
          <t>Temporary password shown ONCE on screen; user must change it at next login; their sessions end</t>
        </is>
      </c>
      <c r="J242" s="42" t="n"/>
      <c r="K242" s="42" t="inlineStr">
        <is>
          <t>Not Run</t>
        </is>
      </c>
      <c r="L242" s="42" t="n"/>
      <c r="M242" s="43" t="n"/>
      <c r="N242" s="42" t="n"/>
      <c r="O242" s="42" t="n"/>
    </row>
    <row r="243" ht="15" customHeight="1" s="24">
      <c r="A243" s="41" t="inlineStr">
        <is>
          <t>USR-15</t>
        </is>
      </c>
      <c r="B243" s="41" t="inlineStr">
        <is>
          <t>Users &amp; Staff</t>
        </is>
      </c>
      <c r="C243" s="41" t="inlineStr">
        <is>
          <t>Unlock</t>
        </is>
      </c>
      <c r="D243" s="41" t="inlineStr">
        <is>
          <t>Functional</t>
        </is>
      </c>
      <c r="E243" s="41" t="inlineStr">
        <is>
          <t>High</t>
        </is>
      </c>
      <c r="F243" s="41" t="inlineStr">
        <is>
          <t>Admin</t>
        </is>
      </c>
      <c r="G243" s="41" t="inlineStr">
        <is>
          <t>Locked account (see LOG-13)</t>
        </is>
      </c>
      <c r="H243" s="41" t="inlineStr">
        <is>
          <t>Click Unlock</t>
        </is>
      </c>
      <c r="I243" s="41" t="inlineStr">
        <is>
          <t>User can log in again</t>
        </is>
      </c>
      <c r="J243" s="42" t="n"/>
      <c r="K243" s="42" t="inlineStr">
        <is>
          <t>Not Run</t>
        </is>
      </c>
      <c r="L243" s="42" t="n"/>
      <c r="M243" s="43" t="n"/>
      <c r="N243" s="42" t="n"/>
      <c r="O243" s="42" t="n"/>
    </row>
    <row r="244" ht="23.25" customHeight="1" s="24">
      <c r="A244" s="41" t="inlineStr">
        <is>
          <t>USR-16</t>
        </is>
      </c>
      <c r="B244" s="41" t="inlineStr">
        <is>
          <t>Users &amp; Staff</t>
        </is>
      </c>
      <c r="C244" s="41" t="inlineStr">
        <is>
          <t>Delete</t>
        </is>
      </c>
      <c r="D244" s="41" t="inlineStr">
        <is>
          <t>Functional</t>
        </is>
      </c>
      <c r="E244" s="41" t="inlineStr">
        <is>
          <t>High</t>
        </is>
      </c>
      <c r="F244" s="41" t="inlineStr">
        <is>
          <t>Admin</t>
        </is>
      </c>
      <c r="G244" s="41" t="n"/>
      <c r="H244" s="41" t="inlineStr">
        <is>
          <t>Delete a user</t>
        </is>
      </c>
      <c r="I244" s="41" t="inlineStr">
        <is>
          <t>Confirm; removed from list; cannot log in; username/e-mail can be reused</t>
        </is>
      </c>
      <c r="J244" s="42" t="n"/>
      <c r="K244" s="42" t="inlineStr">
        <is>
          <t>Not Run</t>
        </is>
      </c>
      <c r="L244" s="42" t="n"/>
      <c r="M244" s="43" t="n"/>
      <c r="N244" s="42" t="n"/>
      <c r="O244" s="42" t="n"/>
    </row>
    <row r="245" ht="15" customHeight="1" s="24">
      <c r="A245" s="41" t="inlineStr">
        <is>
          <t>USR-17</t>
        </is>
      </c>
      <c r="B245" s="41" t="inlineStr">
        <is>
          <t>Users &amp; Staff</t>
        </is>
      </c>
      <c r="C245" s="41" t="inlineStr">
        <is>
          <t>Delete</t>
        </is>
      </c>
      <c r="D245" s="41" t="inlineStr">
        <is>
          <t>Negative</t>
        </is>
      </c>
      <c r="E245" s="41" t="inlineStr">
        <is>
          <t>Medium</t>
        </is>
      </c>
      <c r="F245" s="41" t="inlineStr">
        <is>
          <t>Admin</t>
        </is>
      </c>
      <c r="G245" s="41" t="inlineStr">
        <is>
          <t>Teacher with assignments</t>
        </is>
      </c>
      <c r="H245" s="41" t="inlineStr">
        <is>
          <t>Delete that user</t>
        </is>
      </c>
      <c r="I245" s="41" t="inlineStr">
        <is>
          <t>Refused with counts</t>
        </is>
      </c>
      <c r="J245" s="42" t="n"/>
      <c r="K245" s="42" t="inlineStr">
        <is>
          <t>Not Run</t>
        </is>
      </c>
      <c r="L245" s="42" t="n"/>
      <c r="M245" s="43" t="n"/>
      <c r="N245" s="42" t="n"/>
      <c r="O245" s="42" t="n"/>
    </row>
    <row r="246" ht="15" customHeight="1" s="24">
      <c r="A246" s="41" t="inlineStr">
        <is>
          <t>USR-18</t>
        </is>
      </c>
      <c r="B246" s="41" t="inlineStr">
        <is>
          <t>Users &amp; Staff</t>
        </is>
      </c>
      <c r="C246" s="41" t="inlineStr">
        <is>
          <t>Roles</t>
        </is>
      </c>
      <c r="D246" s="41" t="inlineStr">
        <is>
          <t>Security</t>
        </is>
      </c>
      <c r="E246" s="41" t="inlineStr">
        <is>
          <t>High</t>
        </is>
      </c>
      <c r="F246" s="41" t="inlineStr">
        <is>
          <t>Admin / lower role</t>
        </is>
      </c>
      <c r="G246" s="41" t="inlineStr">
        <is>
          <t>User whose role lacks some permissions</t>
        </is>
      </c>
      <c r="H246" s="41" t="inlineStr">
        <is>
          <t>Try to give a user a role that holds permissions you do not hold</t>
        </is>
      </c>
      <c r="I246" s="41" t="inlineStr">
        <is>
          <t>Refused</t>
        </is>
      </c>
      <c r="J246" s="42" t="n"/>
      <c r="K246" s="42" t="inlineStr">
        <is>
          <t>Not Run</t>
        </is>
      </c>
      <c r="L246" s="42" t="n"/>
      <c r="M246" s="43" t="n"/>
      <c r="N246" s="42" t="n"/>
      <c r="O246" s="42" t="n"/>
    </row>
    <row r="247" ht="15" customHeight="1" s="24">
      <c r="A247" s="41" t="inlineStr">
        <is>
          <t>USR-19</t>
        </is>
      </c>
      <c r="B247" s="41" t="inlineStr">
        <is>
          <t>Users &amp; Staff</t>
        </is>
      </c>
      <c r="C247" s="41" t="inlineStr">
        <is>
          <t>Detail</t>
        </is>
      </c>
      <c r="D247" s="41" t="inlineStr">
        <is>
          <t>UI</t>
        </is>
      </c>
      <c r="E247" s="41" t="inlineStr">
        <is>
          <t>Low</t>
        </is>
      </c>
      <c r="F247" s="41" t="inlineStr">
        <is>
          <t>Admin</t>
        </is>
      </c>
      <c r="G247" s="41" t="n"/>
      <c r="H247" s="41" t="inlineStr">
        <is>
          <t>Open a user's detail page</t>
        </is>
      </c>
      <c r="I247" s="41" t="inlineStr">
        <is>
          <t>All sections shown; empty values as dashes</t>
        </is>
      </c>
      <c r="J247" s="42" t="n"/>
      <c r="K247" s="42" t="inlineStr">
        <is>
          <t>Not Run</t>
        </is>
      </c>
      <c r="L247" s="42" t="n"/>
      <c r="M247" s="43" t="n"/>
      <c r="N247" s="42" t="n"/>
      <c r="O247" s="42" t="n"/>
    </row>
    <row r="248" ht="15" customHeight="1" s="24">
      <c r="A248" s="41" t="inlineStr">
        <is>
          <t>USR-20</t>
        </is>
      </c>
      <c r="B248" s="41" t="inlineStr">
        <is>
          <t>Users &amp; Staff</t>
        </is>
      </c>
      <c r="C248" s="41" t="inlineStr">
        <is>
          <t>Addresses</t>
        </is>
      </c>
      <c r="D248" s="41" t="inlineStr">
        <is>
          <t>Functional</t>
        </is>
      </c>
      <c r="E248" s="41" t="inlineStr">
        <is>
          <t>Medium</t>
        </is>
      </c>
      <c r="F248" s="41" t="inlineStr">
        <is>
          <t>Admin</t>
        </is>
      </c>
      <c r="G248" s="41" t="n"/>
      <c r="H248" s="41" t="inlineStr">
        <is>
          <t>Add / edit / remove addresses in the staff form</t>
        </is>
      </c>
      <c r="I248" s="41" t="inlineStr">
        <is>
          <t>Saved; primary address rule respected (one primary)</t>
        </is>
      </c>
      <c r="J248" s="42" t="n"/>
      <c r="K248" s="42" t="inlineStr">
        <is>
          <t>Not Run</t>
        </is>
      </c>
      <c r="L248" s="42" t="n"/>
      <c r="M248" s="43" t="n"/>
      <c r="N248" s="42" t="n"/>
      <c r="O248" s="42" t="n"/>
    </row>
    <row r="249" ht="15" customHeight="1" s="24">
      <c r="A249" s="41" t="inlineStr">
        <is>
          <t>USR-21</t>
        </is>
      </c>
      <c r="B249" s="41" t="inlineStr">
        <is>
          <t>Users &amp; Staff</t>
        </is>
      </c>
      <c r="C249" s="41" t="inlineStr">
        <is>
          <t>Permissions</t>
        </is>
      </c>
      <c r="D249" s="41" t="inlineStr">
        <is>
          <t>Security</t>
        </is>
      </c>
      <c r="E249" s="41" t="inlineStr">
        <is>
          <t>High</t>
        </is>
      </c>
      <c r="F249" s="41" t="inlineStr">
        <is>
          <t>Clerk</t>
        </is>
      </c>
      <c r="G249" s="41" t="inlineStr">
        <is>
          <t>Role without Users permissions</t>
        </is>
      </c>
      <c r="H249" s="41" t="inlineStr">
        <is>
          <t>Open Users &amp; Staff or call the page by URL</t>
        </is>
      </c>
      <c r="I249" s="41" t="inlineStr">
        <is>
          <t>No access / clear message; no user data shown</t>
        </is>
      </c>
      <c r="J249" s="42" t="n"/>
      <c r="K249" s="42" t="inlineStr">
        <is>
          <t>Not Run</t>
        </is>
      </c>
      <c r="L249" s="42" t="n"/>
      <c r="M249" s="43" t="n"/>
      <c r="N249" s="42" t="n"/>
      <c r="O249" s="42" t="n"/>
    </row>
    <row r="250" ht="23.25" customHeight="1" s="24">
      <c r="A250" s="41" t="inlineStr">
        <is>
          <t>USR-22</t>
        </is>
      </c>
      <c r="B250" s="41" t="inlineStr">
        <is>
          <t>Users &amp; Staff</t>
        </is>
      </c>
      <c r="C250" s="41" t="inlineStr">
        <is>
          <t>Concurrency</t>
        </is>
      </c>
      <c r="D250" s="41" t="inlineStr">
        <is>
          <t>Negative</t>
        </is>
      </c>
      <c r="E250" s="41" t="inlineStr">
        <is>
          <t>Low</t>
        </is>
      </c>
      <c r="F250" s="41" t="inlineStr">
        <is>
          <t>Admin</t>
        </is>
      </c>
      <c r="G250" s="41" t="inlineStr">
        <is>
          <t>Two Admins editing the same user</t>
        </is>
      </c>
      <c r="H250" s="41" t="inlineStr">
        <is>
          <t>Both open the user; one saves; the other then saves</t>
        </is>
      </c>
      <c r="I250" s="41" t="inlineStr">
        <is>
          <t>Second save refused with a 'changed by someone else' message; no silent overwrite</t>
        </is>
      </c>
      <c r="J250" s="42" t="n"/>
      <c r="K250" s="42" t="inlineStr">
        <is>
          <t>Not Run</t>
        </is>
      </c>
      <c r="L250" s="42" t="n"/>
      <c r="M250" s="43" t="n"/>
      <c r="N250" s="42" t="n"/>
      <c r="O250" s="42" t="n"/>
    </row>
    <row r="251" ht="15" customHeight="1" s="24">
      <c r="A251" s="41" t="inlineStr">
        <is>
          <t>ROL-01</t>
        </is>
      </c>
      <c r="B251" s="41" t="inlineStr">
        <is>
          <t>Roles &amp; Permissions</t>
        </is>
      </c>
      <c r="C251" s="41" t="inlineStr">
        <is>
          <t>List</t>
        </is>
      </c>
      <c r="D251" s="41" t="inlineStr">
        <is>
          <t>Functional</t>
        </is>
      </c>
      <c r="E251" s="41" t="inlineStr">
        <is>
          <t>High</t>
        </is>
      </c>
      <c r="F251" s="41" t="inlineStr">
        <is>
          <t>Admin</t>
        </is>
      </c>
      <c r="G251" s="41" t="n"/>
      <c r="H251" s="41" t="inlineStr">
        <is>
          <t>Open Roles &amp; Permissions</t>
        </is>
      </c>
      <c r="I251" s="41" t="inlineStr">
        <is>
          <t>Roles list with status and user counts</t>
        </is>
      </c>
      <c r="J251" s="42" t="n"/>
      <c r="K251" s="42" t="inlineStr">
        <is>
          <t>Not Run</t>
        </is>
      </c>
      <c r="L251" s="42" t="n"/>
      <c r="M251" s="43" t="n"/>
      <c r="N251" s="42" t="n"/>
      <c r="O251" s="42" t="n"/>
    </row>
    <row r="252" ht="23.25" customHeight="1" s="24">
      <c r="A252" s="41" t="inlineStr">
        <is>
          <t>ROL-02</t>
        </is>
      </c>
      <c r="B252" s="41" t="inlineStr">
        <is>
          <t>Roles &amp; Permissions</t>
        </is>
      </c>
      <c r="C252" s="41" t="inlineStr">
        <is>
          <t>Create</t>
        </is>
      </c>
      <c r="D252" s="41" t="inlineStr">
        <is>
          <t>Functional</t>
        </is>
      </c>
      <c r="E252" s="41" t="inlineStr">
        <is>
          <t>High</t>
        </is>
      </c>
      <c r="F252" s="41" t="inlineStr">
        <is>
          <t>Admin</t>
        </is>
      </c>
      <c r="G252" s="41" t="n"/>
      <c r="H252" s="41" t="inlineStr">
        <is>
          <t>Create a role with a name and a set of permissions using the permission picker</t>
        </is>
      </c>
      <c r="I252" s="41" t="inlineStr">
        <is>
          <t>Created; summary shows the chosen permissions</t>
        </is>
      </c>
      <c r="J252" s="42" t="n"/>
      <c r="K252" s="42" t="inlineStr">
        <is>
          <t>Not Run</t>
        </is>
      </c>
      <c r="L252" s="42" t="n"/>
      <c r="M252" s="43" t="n"/>
      <c r="N252" s="42" t="n"/>
      <c r="O252" s="42" t="n"/>
    </row>
    <row r="253" ht="15" customHeight="1" s="24">
      <c r="A253" s="41" t="inlineStr">
        <is>
          <t>ROL-03</t>
        </is>
      </c>
      <c r="B253" s="41" t="inlineStr">
        <is>
          <t>Roles &amp; Permissions</t>
        </is>
      </c>
      <c r="C253" s="41" t="inlineStr">
        <is>
          <t>Picker</t>
        </is>
      </c>
      <c r="D253" s="41" t="inlineStr">
        <is>
          <t>UI</t>
        </is>
      </c>
      <c r="E253" s="41" t="inlineStr">
        <is>
          <t>Medium</t>
        </is>
      </c>
      <c r="F253" s="41" t="inlineStr">
        <is>
          <t>Admin</t>
        </is>
      </c>
      <c r="G253" s="41" t="n"/>
      <c r="H253" s="41" t="inlineStr">
        <is>
          <t>Tick a whole module / group in the picker</t>
        </is>
      </c>
      <c r="I253" s="41" t="inlineStr">
        <is>
          <t>Tri-state checkbox: all / some / none shown correctly</t>
        </is>
      </c>
      <c r="J253" s="42" t="n"/>
      <c r="K253" s="42" t="inlineStr">
        <is>
          <t>Not Run</t>
        </is>
      </c>
      <c r="L253" s="42" t="n"/>
      <c r="M253" s="43" t="n"/>
      <c r="N253" s="42" t="n"/>
      <c r="O253" s="42" t="n"/>
    </row>
    <row r="254" ht="15" customHeight="1" s="24">
      <c r="A254" s="41" t="inlineStr">
        <is>
          <t>ROL-04</t>
        </is>
      </c>
      <c r="B254" s="41" t="inlineStr">
        <is>
          <t>Roles &amp; Permissions</t>
        </is>
      </c>
      <c r="C254" s="41" t="inlineStr">
        <is>
          <t>Picker</t>
        </is>
      </c>
      <c r="D254" s="41" t="inlineStr">
        <is>
          <t>Functional</t>
        </is>
      </c>
      <c r="E254" s="41" t="inlineStr">
        <is>
          <t>High</t>
        </is>
      </c>
      <c r="F254" s="41" t="inlineStr">
        <is>
          <t>Admin</t>
        </is>
      </c>
      <c r="G254" s="41" t="n"/>
      <c r="H254" s="41" t="inlineStr">
        <is>
          <t>Tick an 'Edit' permission without 'View'</t>
        </is>
      </c>
      <c r="I254" s="41" t="inlineStr">
        <is>
          <t>Dependent permissions are added or the user is told (record behaviour)</t>
        </is>
      </c>
      <c r="J254" s="42" t="n"/>
      <c r="K254" s="42" t="inlineStr">
        <is>
          <t>Not Run</t>
        </is>
      </c>
      <c r="L254" s="42" t="n"/>
      <c r="M254" s="43" t="n"/>
      <c r="N254" s="42" t="n"/>
      <c r="O254" s="42" t="n"/>
    </row>
    <row r="255" ht="15" customHeight="1" s="24">
      <c r="A255" s="41" t="inlineStr">
        <is>
          <t>ROL-05</t>
        </is>
      </c>
      <c r="B255" s="41" t="inlineStr">
        <is>
          <t>Roles &amp; Permissions</t>
        </is>
      </c>
      <c r="C255" s="41" t="inlineStr">
        <is>
          <t>Create</t>
        </is>
      </c>
      <c r="D255" s="41" t="inlineStr">
        <is>
          <t>Negative</t>
        </is>
      </c>
      <c r="E255" s="41" t="inlineStr">
        <is>
          <t>Medium</t>
        </is>
      </c>
      <c r="F255" s="41" t="inlineStr">
        <is>
          <t>Admin</t>
        </is>
      </c>
      <c r="G255" s="41" t="n"/>
      <c r="H255" s="41" t="inlineStr">
        <is>
          <t>Duplicate role name</t>
        </is>
      </c>
      <c r="I255" s="41" t="inlineStr">
        <is>
          <t>Error</t>
        </is>
      </c>
      <c r="J255" s="42" t="n"/>
      <c r="K255" s="42" t="inlineStr">
        <is>
          <t>Not Run</t>
        </is>
      </c>
      <c r="L255" s="42" t="n"/>
      <c r="M255" s="43" t="n"/>
      <c r="N255" s="42" t="n"/>
      <c r="O255" s="42" t="n"/>
    </row>
    <row r="256" ht="23.25" customHeight="1" s="24">
      <c r="A256" s="41" t="inlineStr">
        <is>
          <t>ROL-06</t>
        </is>
      </c>
      <c r="B256" s="41" t="inlineStr">
        <is>
          <t>Roles &amp; Permissions</t>
        </is>
      </c>
      <c r="C256" s="41" t="inlineStr">
        <is>
          <t>Edit</t>
        </is>
      </c>
      <c r="D256" s="41" t="inlineStr">
        <is>
          <t>Functional</t>
        </is>
      </c>
      <c r="E256" s="41" t="inlineStr">
        <is>
          <t>High</t>
        </is>
      </c>
      <c r="F256" s="41" t="inlineStr">
        <is>
          <t>Admin</t>
        </is>
      </c>
      <c r="G256" s="41" t="inlineStr">
        <is>
          <t>Role assigned to a user</t>
        </is>
      </c>
      <c r="H256" s="41" t="inlineStr">
        <is>
          <t>Remove a permission from the role</t>
        </is>
      </c>
      <c r="I256" s="41" t="inlineStr">
        <is>
          <t>Affected users lose it (record whether they must log in again or only refresh)</t>
        </is>
      </c>
      <c r="J256" s="42" t="n"/>
      <c r="K256" s="42" t="inlineStr">
        <is>
          <t>Not Run</t>
        </is>
      </c>
      <c r="L256" s="42" t="n"/>
      <c r="M256" s="43" t="n"/>
      <c r="N256" s="42" t="n"/>
      <c r="O256" s="42" t="n"/>
    </row>
    <row r="257" ht="23.25" customHeight="1" s="24">
      <c r="A257" s="41" t="inlineStr">
        <is>
          <t>ROL-07</t>
        </is>
      </c>
      <c r="B257" s="41" t="inlineStr">
        <is>
          <t>Roles &amp; Permissions</t>
        </is>
      </c>
      <c r="C257" s="41" t="inlineStr">
        <is>
          <t>Status</t>
        </is>
      </c>
      <c r="D257" s="41" t="inlineStr">
        <is>
          <t>Functional</t>
        </is>
      </c>
      <c r="E257" s="41" t="inlineStr">
        <is>
          <t>Medium</t>
        </is>
      </c>
      <c r="F257" s="41" t="inlineStr">
        <is>
          <t>Admin</t>
        </is>
      </c>
      <c r="G257" s="41" t="n"/>
      <c r="H257" s="41" t="inlineStr">
        <is>
          <t>Deactivate then activate a role</t>
        </is>
      </c>
      <c r="I257" s="41" t="inlineStr">
        <is>
          <t>Confirmation dialog; status changes; users with a deactivated role are handled as designed (record behaviour)</t>
        </is>
      </c>
      <c r="J257" s="42" t="n"/>
      <c r="K257" s="42" t="inlineStr">
        <is>
          <t>Not Run</t>
        </is>
      </c>
      <c r="L257" s="42" t="n"/>
      <c r="M257" s="43" t="n"/>
      <c r="N257" s="42" t="n"/>
      <c r="O257" s="42" t="n"/>
    </row>
    <row r="258" ht="15" customHeight="1" s="24">
      <c r="A258" s="41" t="inlineStr">
        <is>
          <t>ROL-08</t>
        </is>
      </c>
      <c r="B258" s="41" t="inlineStr">
        <is>
          <t>Roles &amp; Permissions</t>
        </is>
      </c>
      <c r="C258" s="41" t="inlineStr">
        <is>
          <t>Delete</t>
        </is>
      </c>
      <c r="D258" s="41" t="inlineStr">
        <is>
          <t>Negative</t>
        </is>
      </c>
      <c r="E258" s="41" t="inlineStr">
        <is>
          <t>Medium</t>
        </is>
      </c>
      <c r="F258" s="41" t="inlineStr">
        <is>
          <t>Admin</t>
        </is>
      </c>
      <c r="G258" s="41" t="inlineStr">
        <is>
          <t>Role assigned to users</t>
        </is>
      </c>
      <c r="H258" s="41" t="inlineStr">
        <is>
          <t>Delete the role</t>
        </is>
      </c>
      <c r="I258" s="41" t="inlineStr">
        <is>
          <t>Refused while users hold it</t>
        </is>
      </c>
      <c r="J258" s="42" t="n"/>
      <c r="K258" s="42" t="inlineStr">
        <is>
          <t>Not Run</t>
        </is>
      </c>
      <c r="L258" s="42" t="n"/>
      <c r="M258" s="43" t="n"/>
      <c r="N258" s="42" t="n"/>
      <c r="O258" s="42" t="n"/>
    </row>
    <row r="259" ht="23.25" customHeight="1" s="24">
      <c r="A259" s="41" t="inlineStr">
        <is>
          <t>ROL-09</t>
        </is>
      </c>
      <c r="B259" s="41" t="inlineStr">
        <is>
          <t>Roles &amp; Permissions</t>
        </is>
      </c>
      <c r="C259" s="41" t="inlineStr">
        <is>
          <t>Built-in roles</t>
        </is>
      </c>
      <c r="D259" s="41" t="inlineStr">
        <is>
          <t>Exploratory</t>
        </is>
      </c>
      <c r="E259" s="41" t="inlineStr">
        <is>
          <t>Medium</t>
        </is>
      </c>
      <c r="F259" s="41" t="inlineStr">
        <is>
          <t>Admin</t>
        </is>
      </c>
      <c r="G259" s="41" t="n"/>
      <c r="H259" s="41" t="inlineStr">
        <is>
          <t>Try to edit / delete the built-in roles (Admin, Supervisor, Clerk, Teacher)</t>
        </is>
      </c>
      <c r="I259" s="41" t="inlineStr">
        <is>
          <t>Record what is allowed; Admin must never lose the ability to manage the system</t>
        </is>
      </c>
      <c r="J259" s="42" t="n"/>
      <c r="K259" s="42" t="inlineStr">
        <is>
          <t>Not Run</t>
        </is>
      </c>
      <c r="L259" s="42" t="n"/>
      <c r="M259" s="43" t="n"/>
      <c r="N259" s="42" t="n"/>
      <c r="O259" s="42" t="n"/>
    </row>
    <row r="260" ht="15" customHeight="1" s="24">
      <c r="A260" s="41" t="inlineStr">
        <is>
          <t>ROL-10</t>
        </is>
      </c>
      <c r="B260" s="41" t="inlineStr">
        <is>
          <t>Roles &amp; Permissions</t>
        </is>
      </c>
      <c r="C260" s="41" t="inlineStr">
        <is>
          <t>Security</t>
        </is>
      </c>
      <c r="D260" s="41" t="inlineStr">
        <is>
          <t>Security</t>
        </is>
      </c>
      <c r="E260" s="41" t="inlineStr">
        <is>
          <t>High</t>
        </is>
      </c>
      <c r="F260" s="41" t="inlineStr">
        <is>
          <t>Role holder</t>
        </is>
      </c>
      <c r="G260" s="41" t="inlineStr">
        <is>
          <t>User who lacks some permission P</t>
        </is>
      </c>
      <c r="H260" s="41" t="inlineStr">
        <is>
          <t>Edit a role to include P</t>
        </is>
      </c>
      <c r="I260" s="41" t="inlineStr">
        <is>
          <t>Refused (you cannot grant permissions you do not hold)</t>
        </is>
      </c>
      <c r="J260" s="42" t="n"/>
      <c r="K260" s="42" t="inlineStr">
        <is>
          <t>Not Run</t>
        </is>
      </c>
      <c r="L260" s="42" t="n"/>
      <c r="M260" s="43" t="n"/>
      <c r="N260" s="42" t="n"/>
      <c r="O260" s="42" t="n"/>
    </row>
    <row r="261" ht="15" customHeight="1" s="24">
      <c r="A261" s="41" t="inlineStr">
        <is>
          <t>ROL-11</t>
        </is>
      </c>
      <c r="B261" s="41" t="inlineStr">
        <is>
          <t>Roles &amp; Permissions</t>
        </is>
      </c>
      <c r="C261" s="41" t="inlineStr">
        <is>
          <t>Permissions</t>
        </is>
      </c>
      <c r="D261" s="41" t="inlineStr">
        <is>
          <t>Security</t>
        </is>
      </c>
      <c r="E261" s="41" t="inlineStr">
        <is>
          <t>High</t>
        </is>
      </c>
      <c r="F261" s="41" t="inlineStr">
        <is>
          <t>Clerk</t>
        </is>
      </c>
      <c r="G261" s="41" t="inlineStr">
        <is>
          <t>Role without Roles permissions</t>
        </is>
      </c>
      <c r="H261" s="41" t="inlineStr">
        <is>
          <t>Open Roles &amp; Permissions</t>
        </is>
      </c>
      <c r="I261" s="41" t="inlineStr">
        <is>
          <t>No access / clear message</t>
        </is>
      </c>
      <c r="J261" s="42" t="n"/>
      <c r="K261" s="42" t="inlineStr">
        <is>
          <t>Not Run</t>
        </is>
      </c>
      <c r="L261" s="42" t="n"/>
      <c r="M261" s="43" t="n"/>
      <c r="N261" s="42" t="n"/>
      <c r="O261" s="42" t="n"/>
    </row>
    <row r="262" ht="15" customHeight="1" s="24">
      <c r="A262" s="41" t="inlineStr">
        <is>
          <t>ACC-01</t>
        </is>
      </c>
      <c r="B262" s="41" t="inlineStr">
        <is>
          <t>My Account</t>
        </is>
      </c>
      <c r="C262" s="41" t="inlineStr">
        <is>
          <t>Profile</t>
        </is>
      </c>
      <c r="D262" s="41" t="inlineStr">
        <is>
          <t>Functional</t>
        </is>
      </c>
      <c r="E262" s="41" t="inlineStr">
        <is>
          <t>High</t>
        </is>
      </c>
      <c r="F262" s="41" t="inlineStr">
        <is>
          <t>Any staff</t>
        </is>
      </c>
      <c r="G262" s="41" t="inlineStr">
        <is>
          <t>Logged in</t>
        </is>
      </c>
      <c r="H262" s="41" t="inlineStr">
        <is>
          <t>Open My Account</t>
        </is>
      </c>
      <c r="I262" s="41" t="inlineStr">
        <is>
          <t>Own profile, e-mail, addresses, password section shown</t>
        </is>
      </c>
      <c r="J262" s="42" t="n"/>
      <c r="K262" s="42" t="inlineStr">
        <is>
          <t>Not Run</t>
        </is>
      </c>
      <c r="L262" s="42" t="n"/>
      <c r="M262" s="43" t="n"/>
      <c r="N262" s="42" t="n"/>
      <c r="O262" s="42" t="n"/>
    </row>
    <row r="263" ht="23.25" customHeight="1" s="24">
      <c r="A263" s="41" t="inlineStr">
        <is>
          <t>ACC-02</t>
        </is>
      </c>
      <c r="B263" s="41" t="inlineStr">
        <is>
          <t>My Account</t>
        </is>
      </c>
      <c r="C263" s="41" t="inlineStr">
        <is>
          <t>Profile</t>
        </is>
      </c>
      <c r="D263" s="41" t="inlineStr">
        <is>
          <t>Functional</t>
        </is>
      </c>
      <c r="E263" s="41" t="inlineStr">
        <is>
          <t>High</t>
        </is>
      </c>
      <c r="F263" s="41" t="inlineStr">
        <is>
          <t>Any staff</t>
        </is>
      </c>
      <c r="G263" s="41" t="n"/>
      <c r="H263" s="41" t="inlineStr">
        <is>
          <t>Edit full name, mobile, date of birth, qualification, emergency contact, blood group; Save</t>
        </is>
      </c>
      <c r="I263" s="41" t="inlineStr">
        <is>
          <t>Saved; shown again after reload</t>
        </is>
      </c>
      <c r="J263" s="42" t="n"/>
      <c r="K263" s="42" t="inlineStr">
        <is>
          <t>Not Run</t>
        </is>
      </c>
      <c r="L263" s="42" t="n"/>
      <c r="M263" s="43" t="n"/>
      <c r="N263" s="42" t="n"/>
      <c r="O263" s="42" t="n"/>
    </row>
    <row r="264" ht="15" customHeight="1" s="24">
      <c r="A264" s="41" t="inlineStr">
        <is>
          <t>ACC-03</t>
        </is>
      </c>
      <c r="B264" s="41" t="inlineStr">
        <is>
          <t>My Account</t>
        </is>
      </c>
      <c r="C264" s="41" t="inlineStr">
        <is>
          <t>Profile</t>
        </is>
      </c>
      <c r="D264" s="41" t="inlineStr">
        <is>
          <t>Security</t>
        </is>
      </c>
      <c r="E264" s="41" t="inlineStr">
        <is>
          <t>High</t>
        </is>
      </c>
      <c r="F264" s="41" t="inlineStr">
        <is>
          <t>Any staff</t>
        </is>
      </c>
      <c r="G264" s="41" t="n"/>
      <c r="H264" s="41" t="inlineStr">
        <is>
          <t>Look for username, role, status, joining date</t>
        </is>
      </c>
      <c r="I264" s="41" t="inlineStr">
        <is>
          <t>Not editable by the user</t>
        </is>
      </c>
      <c r="J264" s="42" t="n"/>
      <c r="K264" s="42" t="inlineStr">
        <is>
          <t>Not Run</t>
        </is>
      </c>
      <c r="L264" s="42" t="n"/>
      <c r="M264" s="43" t="n"/>
      <c r="N264" s="42" t="n"/>
      <c r="O264" s="42" t="n"/>
    </row>
    <row r="265" ht="15" customHeight="1" s="24">
      <c r="A265" s="41" t="inlineStr">
        <is>
          <t>ACC-04</t>
        </is>
      </c>
      <c r="B265" s="41" t="inlineStr">
        <is>
          <t>My Account</t>
        </is>
      </c>
      <c r="C265" s="41" t="inlineStr">
        <is>
          <t>Profile</t>
        </is>
      </c>
      <c r="D265" s="41" t="inlineStr">
        <is>
          <t>Validation</t>
        </is>
      </c>
      <c r="E265" s="41" t="inlineStr">
        <is>
          <t>Medium</t>
        </is>
      </c>
      <c r="F265" s="41" t="inlineStr">
        <is>
          <t>Any staff</t>
        </is>
      </c>
      <c r="G265" s="41" t="n"/>
      <c r="H265" s="41" t="inlineStr">
        <is>
          <t>Invalid mobile / e-mail; e-mail used by someone else</t>
        </is>
      </c>
      <c r="I265" s="41" t="inlineStr">
        <is>
          <t>Clear messages</t>
        </is>
      </c>
      <c r="J265" s="42" t="n"/>
      <c r="K265" s="42" t="inlineStr">
        <is>
          <t>Not Run</t>
        </is>
      </c>
      <c r="L265" s="42" t="n"/>
      <c r="M265" s="43" t="n"/>
      <c r="N265" s="42" t="n"/>
      <c r="O265" s="42" t="n"/>
    </row>
    <row r="266" ht="15" customHeight="1" s="24">
      <c r="A266" s="41" t="inlineStr">
        <is>
          <t>ACC-05</t>
        </is>
      </c>
      <c r="B266" s="41" t="inlineStr">
        <is>
          <t>My Account</t>
        </is>
      </c>
      <c r="C266" s="41" t="inlineStr">
        <is>
          <t>Addresses</t>
        </is>
      </c>
      <c r="D266" s="41" t="inlineStr">
        <is>
          <t>Functional</t>
        </is>
      </c>
      <c r="E266" s="41" t="inlineStr">
        <is>
          <t>Medium</t>
        </is>
      </c>
      <c r="F266" s="41" t="inlineStr">
        <is>
          <t>Any staff</t>
        </is>
      </c>
      <c r="G266" s="41" t="n"/>
      <c r="H266" s="41" t="inlineStr">
        <is>
          <t>Add / edit address</t>
        </is>
      </c>
      <c r="I266" s="41" t="inlineStr">
        <is>
          <t>Saved</t>
        </is>
      </c>
      <c r="J266" s="42" t="n"/>
      <c r="K266" s="42" t="inlineStr">
        <is>
          <t>Not Run</t>
        </is>
      </c>
      <c r="L266" s="42" t="n"/>
      <c r="M266" s="43" t="n"/>
      <c r="N266" s="42" t="n"/>
      <c r="O266" s="42" t="n"/>
    </row>
    <row r="267" ht="15" customHeight="1" s="24">
      <c r="A267" s="41" t="inlineStr">
        <is>
          <t>ACC-06</t>
        </is>
      </c>
      <c r="B267" s="41" t="inlineStr">
        <is>
          <t>My Account</t>
        </is>
      </c>
      <c r="C267" s="41" t="inlineStr">
        <is>
          <t>Password</t>
        </is>
      </c>
      <c r="D267" s="41" t="inlineStr">
        <is>
          <t>Functional</t>
        </is>
      </c>
      <c r="E267" s="41" t="inlineStr">
        <is>
          <t>High</t>
        </is>
      </c>
      <c r="F267" s="41" t="inlineStr">
        <is>
          <t>Any staff</t>
        </is>
      </c>
      <c r="G267" s="41" t="n"/>
      <c r="H267" s="41" t="inlineStr">
        <is>
          <t>Change password with the correct current password and a strong new one</t>
        </is>
      </c>
      <c r="I267" s="41" t="inlineStr">
        <is>
          <t>Success; other sessions end; new password works</t>
        </is>
      </c>
      <c r="J267" s="42" t="n"/>
      <c r="K267" s="42" t="inlineStr">
        <is>
          <t>Not Run</t>
        </is>
      </c>
      <c r="L267" s="42" t="n"/>
      <c r="M267" s="43" t="n"/>
      <c r="N267" s="42" t="n"/>
      <c r="O267" s="42" t="n"/>
    </row>
    <row r="268" ht="15" customHeight="1" s="24">
      <c r="A268" s="41" t="inlineStr">
        <is>
          <t>ACC-07</t>
        </is>
      </c>
      <c r="B268" s="41" t="inlineStr">
        <is>
          <t>My Account</t>
        </is>
      </c>
      <c r="C268" s="41" t="inlineStr">
        <is>
          <t>Password</t>
        </is>
      </c>
      <c r="D268" s="41" t="inlineStr">
        <is>
          <t>Negative</t>
        </is>
      </c>
      <c r="E268" s="41" t="inlineStr">
        <is>
          <t>High</t>
        </is>
      </c>
      <c r="F268" s="41" t="inlineStr">
        <is>
          <t>Any staff</t>
        </is>
      </c>
      <c r="G268" s="41" t="n"/>
      <c r="H268" s="41" t="inlineStr">
        <is>
          <t>Wrong current password / weak new password / new = old</t>
        </is>
      </c>
      <c r="I268" s="41" t="inlineStr">
        <is>
          <t>Clear messages; password unchanged</t>
        </is>
      </c>
      <c r="J268" s="42" t="n"/>
      <c r="K268" s="42" t="inlineStr">
        <is>
          <t>Not Run</t>
        </is>
      </c>
      <c r="L268" s="42" t="n"/>
      <c r="M268" s="43" t="n"/>
      <c r="N268" s="42" t="n"/>
      <c r="O268" s="42" t="n"/>
    </row>
    <row r="269" ht="15" customHeight="1" s="24">
      <c r="A269" s="41" t="inlineStr">
        <is>
          <t>ACC-08</t>
        </is>
      </c>
      <c r="B269" s="41" t="inlineStr">
        <is>
          <t>My Account</t>
        </is>
      </c>
      <c r="C269" s="41" t="inlineStr">
        <is>
          <t>Theme</t>
        </is>
      </c>
      <c r="D269" s="41" t="inlineStr">
        <is>
          <t>UI</t>
        </is>
      </c>
      <c r="E269" s="41" t="inlineStr">
        <is>
          <t>Low</t>
        </is>
      </c>
      <c r="F269" s="41" t="inlineStr">
        <is>
          <t>Any staff</t>
        </is>
      </c>
      <c r="G269" s="41" t="n"/>
      <c r="H269" s="41" t="inlineStr">
        <is>
          <t>Change theme</t>
        </is>
      </c>
      <c r="I269" s="41" t="inlineStr">
        <is>
          <t>Saved per user and kept after logout/login</t>
        </is>
      </c>
      <c r="J269" s="42" t="n"/>
      <c r="K269" s="42" t="inlineStr">
        <is>
          <t>Not Run</t>
        </is>
      </c>
      <c r="L269" s="42" t="n"/>
      <c r="M269" s="43" t="n"/>
      <c r="N269" s="42" t="n"/>
      <c r="O269" s="42" t="n"/>
    </row>
    <row r="270" ht="15" customHeight="1" s="24">
      <c r="A270" s="41" t="inlineStr">
        <is>
          <t>ACC-09</t>
        </is>
      </c>
      <c r="B270" s="41" t="inlineStr">
        <is>
          <t>My Account</t>
        </is>
      </c>
      <c r="C270" s="41" t="inlineStr">
        <is>
          <t>Forced change</t>
        </is>
      </c>
      <c r="D270" s="41" t="inlineStr">
        <is>
          <t>Functional</t>
        </is>
      </c>
      <c r="E270" s="41" t="inlineStr">
        <is>
          <t>High</t>
        </is>
      </c>
      <c r="F270" s="41" t="inlineStr">
        <is>
          <t>New user</t>
        </is>
      </c>
      <c r="G270" s="41" t="inlineStr">
        <is>
          <t>MustChangePassword set</t>
        </is>
      </c>
      <c r="H270" s="41" t="inlineStr">
        <is>
          <t>Log in and try to open another page</t>
        </is>
      </c>
      <c r="I270" s="41" t="inlineStr">
        <is>
          <t>Only the Change Password page is reachable until done</t>
        </is>
      </c>
      <c r="J270" s="42" t="n"/>
      <c r="K270" s="42" t="inlineStr">
        <is>
          <t>Not Run</t>
        </is>
      </c>
      <c r="L270" s="42" t="n"/>
      <c r="M270" s="43" t="n"/>
      <c r="N270" s="42" t="n"/>
      <c r="O270" s="42" t="n"/>
    </row>
    <row r="271" ht="23.25" customHeight="1" s="24">
      <c r="A271" s="41" t="inlineStr">
        <is>
          <t>SET-01</t>
        </is>
      </c>
      <c r="B271" s="41" t="inlineStr">
        <is>
          <t>School Settings</t>
        </is>
      </c>
      <c r="C271" s="41" t="inlineStr">
        <is>
          <t>View</t>
        </is>
      </c>
      <c r="D271" s="41" t="inlineStr">
        <is>
          <t>Functional</t>
        </is>
      </c>
      <c r="E271" s="41" t="inlineStr">
        <is>
          <t>High</t>
        </is>
      </c>
      <c r="F271" s="41" t="inlineStr">
        <is>
          <t>Admin</t>
        </is>
      </c>
      <c r="G271" s="41" t="n"/>
      <c r="H271" s="41" t="inlineStr">
        <is>
          <t>Open Settings</t>
        </is>
      </c>
      <c r="I271" s="41" t="inlineStr">
        <is>
          <t>Identity, Contact, Time zone &amp; currency, Working days, About sections load with current values</t>
        </is>
      </c>
      <c r="J271" s="42" t="n"/>
      <c r="K271" s="42" t="inlineStr">
        <is>
          <t>Not Run</t>
        </is>
      </c>
      <c r="L271" s="42" t="n"/>
      <c r="M271" s="43" t="n"/>
      <c r="N271" s="42" t="n"/>
      <c r="O271" s="42" t="n"/>
    </row>
    <row r="272" ht="15" customHeight="1" s="24">
      <c r="A272" s="41" t="inlineStr">
        <is>
          <t>SET-02</t>
        </is>
      </c>
      <c r="B272" s="41" t="inlineStr">
        <is>
          <t>School Settings</t>
        </is>
      </c>
      <c r="C272" s="41" t="inlineStr">
        <is>
          <t>Edit</t>
        </is>
      </c>
      <c r="D272" s="41" t="inlineStr">
        <is>
          <t>Functional</t>
        </is>
      </c>
      <c r="E272" s="41" t="inlineStr">
        <is>
          <t>High</t>
        </is>
      </c>
      <c r="F272" s="41" t="inlineStr">
        <is>
          <t>Admin</t>
        </is>
      </c>
      <c r="G272" s="41" t="n"/>
      <c r="H272" s="41" t="inlineStr">
        <is>
          <t>Change school name and Save</t>
        </is>
      </c>
      <c r="I272" s="41" t="inlineStr">
        <is>
          <t>Saved; top bar shows the new name after refresh</t>
        </is>
      </c>
      <c r="J272" s="42" t="n"/>
      <c r="K272" s="42" t="inlineStr">
        <is>
          <t>Not Run</t>
        </is>
      </c>
      <c r="L272" s="42" t="n"/>
      <c r="M272" s="43" t="n"/>
      <c r="N272" s="42" t="n"/>
      <c r="O272" s="42" t="n"/>
    </row>
    <row r="273" ht="15" customHeight="1" s="24">
      <c r="A273" s="41" t="inlineStr">
        <is>
          <t>SET-03</t>
        </is>
      </c>
      <c r="B273" s="41" t="inlineStr">
        <is>
          <t>School Settings</t>
        </is>
      </c>
      <c r="C273" s="41" t="inlineStr">
        <is>
          <t>Edit</t>
        </is>
      </c>
      <c r="D273" s="41" t="inlineStr">
        <is>
          <t>Validation</t>
        </is>
      </c>
      <c r="E273" s="41" t="inlineStr">
        <is>
          <t>High</t>
        </is>
      </c>
      <c r="F273" s="41" t="inlineStr">
        <is>
          <t>Admin</t>
        </is>
      </c>
      <c r="G273" s="41" t="n"/>
      <c r="H273" s="41" t="inlineStr">
        <is>
          <t>Clear the school name; invalid e-mail / website / phone</t>
        </is>
      </c>
      <c r="I273" s="41" t="inlineStr">
        <is>
          <t>Clear messages; nothing saved</t>
        </is>
      </c>
      <c r="J273" s="42" t="n"/>
      <c r="K273" s="42" t="inlineStr">
        <is>
          <t>Not Run</t>
        </is>
      </c>
      <c r="L273" s="42" t="n"/>
      <c r="M273" s="43" t="n"/>
      <c r="N273" s="42" t="n"/>
      <c r="O273" s="42" t="n"/>
    </row>
    <row r="274" ht="15" customHeight="1" s="24">
      <c r="A274" s="41" t="inlineStr">
        <is>
          <t>SET-04</t>
        </is>
      </c>
      <c r="B274" s="41" t="inlineStr">
        <is>
          <t>School Settings</t>
        </is>
      </c>
      <c r="C274" s="41" t="inlineStr">
        <is>
          <t>Edit</t>
        </is>
      </c>
      <c r="D274" s="41" t="inlineStr">
        <is>
          <t>Validation</t>
        </is>
      </c>
      <c r="E274" s="41" t="inlineStr">
        <is>
          <t>High</t>
        </is>
      </c>
      <c r="F274" s="41" t="inlineStr">
        <is>
          <t>Admin</t>
        </is>
      </c>
      <c r="G274" s="41" t="n"/>
      <c r="H274" s="41" t="inlineStr">
        <is>
          <t>Currency code not 3 capital letters; invalid time zone</t>
        </is>
      </c>
      <c r="I274" s="41" t="inlineStr">
        <is>
          <t>Refused with message</t>
        </is>
      </c>
      <c r="J274" s="42" t="n"/>
      <c r="K274" s="42" t="inlineStr">
        <is>
          <t>Not Run</t>
        </is>
      </c>
      <c r="L274" s="42" t="n"/>
      <c r="M274" s="43" t="n"/>
      <c r="N274" s="42" t="n"/>
      <c r="O274" s="42" t="n"/>
    </row>
    <row r="275" ht="15" customHeight="1" s="24">
      <c r="A275" s="41" t="inlineStr">
        <is>
          <t>SET-05</t>
        </is>
      </c>
      <c r="B275" s="41" t="inlineStr">
        <is>
          <t>School Settings</t>
        </is>
      </c>
      <c r="C275" s="41" t="inlineStr">
        <is>
          <t>Edit</t>
        </is>
      </c>
      <c r="D275" s="41" t="inlineStr">
        <is>
          <t>Validation</t>
        </is>
      </c>
      <c r="E275" s="41" t="inlineStr">
        <is>
          <t>High</t>
        </is>
      </c>
      <c r="F275" s="41" t="inlineStr">
        <is>
          <t>Admin</t>
        </is>
      </c>
      <c r="G275" s="41" t="n"/>
      <c r="H275" s="41" t="inlineStr">
        <is>
          <t>Untick all working days, Save</t>
        </is>
      </c>
      <c r="I275" s="41" t="inlineStr">
        <is>
          <t>Refused: at least one working day required</t>
        </is>
      </c>
      <c r="J275" s="42" t="n"/>
      <c r="K275" s="42" t="inlineStr">
        <is>
          <t>Not Run</t>
        </is>
      </c>
      <c r="L275" s="42" t="n"/>
      <c r="M275" s="43" t="n"/>
      <c r="N275" s="42" t="n"/>
      <c r="O275" s="42" t="n"/>
    </row>
    <row r="276" ht="15" customHeight="1" s="24">
      <c r="A276" s="41" t="inlineStr">
        <is>
          <t>SET-06</t>
        </is>
      </c>
      <c r="B276" s="41" t="inlineStr">
        <is>
          <t>School Settings</t>
        </is>
      </c>
      <c r="C276" s="41" t="inlineStr">
        <is>
          <t>Edit</t>
        </is>
      </c>
      <c r="D276" s="41" t="inlineStr">
        <is>
          <t>Functional</t>
        </is>
      </c>
      <c r="E276" s="41" t="inlineStr">
        <is>
          <t>Medium</t>
        </is>
      </c>
      <c r="F276" s="41" t="inlineStr">
        <is>
          <t>Admin</t>
        </is>
      </c>
      <c r="G276" s="41" t="n"/>
      <c r="H276" s="41" t="inlineStr">
        <is>
          <t>Change country, time zone, currency, working days; Save; reload</t>
        </is>
      </c>
      <c r="I276" s="41" t="inlineStr">
        <is>
          <t>Values persist</t>
        </is>
      </c>
      <c r="J276" s="42" t="n"/>
      <c r="K276" s="42" t="inlineStr">
        <is>
          <t>Not Run</t>
        </is>
      </c>
      <c r="L276" s="42" t="n"/>
      <c r="M276" s="43" t="n"/>
      <c r="N276" s="42" t="n"/>
      <c r="O276" s="42" t="n"/>
    </row>
    <row r="277" ht="15" customHeight="1" s="24">
      <c r="A277" s="41" t="inlineStr">
        <is>
          <t>SET-07</t>
        </is>
      </c>
      <c r="B277" s="41" t="inlineStr">
        <is>
          <t>School Settings</t>
        </is>
      </c>
      <c r="C277" s="41" t="inlineStr">
        <is>
          <t>Concurrency</t>
        </is>
      </c>
      <c r="D277" s="41" t="inlineStr">
        <is>
          <t>Negative</t>
        </is>
      </c>
      <c r="E277" s="41" t="inlineStr">
        <is>
          <t>Medium</t>
        </is>
      </c>
      <c r="F277" s="41" t="inlineStr">
        <is>
          <t>Admin</t>
        </is>
      </c>
      <c r="G277" s="41" t="inlineStr">
        <is>
          <t>Two Admins on Settings</t>
        </is>
      </c>
      <c r="H277" s="41" t="inlineStr">
        <is>
          <t>Both open; one saves; the other saves</t>
        </is>
      </c>
      <c r="I277" s="41" t="inlineStr">
        <is>
          <t>Second save refused with a conflict message</t>
        </is>
      </c>
      <c r="J277" s="42" t="n"/>
      <c r="K277" s="42" t="inlineStr">
        <is>
          <t>Not Run</t>
        </is>
      </c>
      <c r="L277" s="42" t="n"/>
      <c r="M277" s="43" t="n"/>
      <c r="N277" s="42" t="n"/>
      <c r="O277" s="42" t="n"/>
    </row>
    <row r="278" ht="15" customHeight="1" s="24">
      <c r="A278" s="41" t="inlineStr">
        <is>
          <t>SET-08</t>
        </is>
      </c>
      <c r="B278" s="41" t="inlineStr">
        <is>
          <t>School Settings</t>
        </is>
      </c>
      <c r="C278" s="41" t="inlineStr">
        <is>
          <t>Permissions</t>
        </is>
      </c>
      <c r="D278" s="41" t="inlineStr">
        <is>
          <t>Security</t>
        </is>
      </c>
      <c r="E278" s="41" t="inlineStr">
        <is>
          <t>High</t>
        </is>
      </c>
      <c r="F278" s="41" t="inlineStr">
        <is>
          <t>Clerk / Teacher</t>
        </is>
      </c>
      <c r="G278" s="41" t="inlineStr">
        <is>
          <t>Role without Settings permissions</t>
        </is>
      </c>
      <c r="H278" s="41" t="inlineStr">
        <is>
          <t>Open Settings</t>
        </is>
      </c>
      <c r="I278" s="41" t="inlineStr">
        <is>
          <t>No access / clear message</t>
        </is>
      </c>
      <c r="J278" s="42" t="n"/>
      <c r="K278" s="42" t="inlineStr">
        <is>
          <t>Not Run</t>
        </is>
      </c>
      <c r="L278" s="42" t="n"/>
      <c r="M278" s="43" t="n"/>
      <c r="N278" s="42" t="n"/>
      <c r="O278" s="42" t="n"/>
    </row>
    <row r="279" ht="23.25" customHeight="1" s="24">
      <c r="A279" s="41" t="inlineStr">
        <is>
          <t>SET-09</t>
        </is>
      </c>
      <c r="B279" s="41" t="inlineStr">
        <is>
          <t>School Settings</t>
        </is>
      </c>
      <c r="C279" s="41" t="inlineStr">
        <is>
          <t>Permissions</t>
        </is>
      </c>
      <c r="D279" s="41" t="inlineStr">
        <is>
          <t>Security</t>
        </is>
      </c>
      <c r="E279" s="41" t="inlineStr">
        <is>
          <t>Medium</t>
        </is>
      </c>
      <c r="F279" s="41" t="inlineStr">
        <is>
          <t>User with Settings.View only</t>
        </is>
      </c>
      <c r="G279" s="41" t="n"/>
      <c r="H279" s="41" t="inlineStr">
        <is>
          <t>Open Settings</t>
        </is>
      </c>
      <c r="I279" s="41" t="inlineStr">
        <is>
          <t>Fields visible but not editable / Save refused</t>
        </is>
      </c>
      <c r="J279" s="42" t="n"/>
      <c r="K279" s="42" t="inlineStr">
        <is>
          <t>Not Run</t>
        </is>
      </c>
      <c r="L279" s="42" t="n"/>
      <c r="M279" s="43" t="n"/>
      <c r="N279" s="42" t="n"/>
      <c r="O279" s="42" t="n"/>
    </row>
    <row r="280" ht="15" customHeight="1" s="24">
      <c r="A280" s="41" t="inlineStr">
        <is>
          <t>DSH-01</t>
        </is>
      </c>
      <c r="B280" s="41" t="inlineStr">
        <is>
          <t>Dashboard</t>
        </is>
      </c>
      <c r="C280" s="41" t="inlineStr">
        <is>
          <t>Dashboard</t>
        </is>
      </c>
      <c r="D280" s="41" t="inlineStr">
        <is>
          <t>Functional</t>
        </is>
      </c>
      <c r="E280" s="41" t="inlineStr">
        <is>
          <t>Low</t>
        </is>
      </c>
      <c r="F280" s="41" t="inlineStr">
        <is>
          <t>Admin</t>
        </is>
      </c>
      <c r="G280" s="41" t="n"/>
      <c r="H280" s="41" t="inlineStr">
        <is>
          <t>Open the Dashboard</t>
        </is>
      </c>
      <c r="I280" s="41" t="inlineStr">
        <is>
          <t>Welcome message shown (no widgets built yet); no errors</t>
        </is>
      </c>
      <c r="J280" s="42" t="n"/>
      <c r="K280" s="42" t="inlineStr">
        <is>
          <t>Not Run</t>
        </is>
      </c>
      <c r="L280" s="42" t="n"/>
      <c r="M280" s="43" t="n"/>
      <c r="N280" s="42" t="n"/>
      <c r="O280" s="42" t="n"/>
    </row>
    <row r="281" ht="23.25" customHeight="1" s="24">
      <c r="A281" s="41" t="inlineStr">
        <is>
          <t>RBAC-01</t>
        </is>
      </c>
      <c r="B281" s="41" t="inlineStr">
        <is>
          <t>Roles &amp; Access (RBAC)</t>
        </is>
      </c>
      <c r="C281" s="41" t="inlineStr">
        <is>
          <t>Clerk</t>
        </is>
      </c>
      <c r="D281" s="41" t="inlineStr">
        <is>
          <t>Security</t>
        </is>
      </c>
      <c r="E281" s="41" t="inlineStr">
        <is>
          <t>High</t>
        </is>
      </c>
      <c r="F281" s="41" t="inlineStr">
        <is>
          <t>Clerk</t>
        </is>
      </c>
      <c r="G281" s="41" t="n"/>
      <c r="H281" s="41" t="inlineStr">
        <is>
          <t>Try to add a class / student / parent / teacher</t>
        </is>
      </c>
      <c r="I281" s="41" t="inlineStr">
        <is>
          <t>403 shown as a clear 'You do not have permission' message; no crash; no data created</t>
        </is>
      </c>
      <c r="J281" s="42" t="n"/>
      <c r="K281" s="42" t="inlineStr">
        <is>
          <t>Not Run</t>
        </is>
      </c>
      <c r="L281" s="42" t="n"/>
      <c r="M281" s="43" t="n"/>
      <c r="N281" s="42" t="n"/>
      <c r="O281" s="42" t="n"/>
    </row>
    <row r="282" ht="15" customHeight="1" s="24">
      <c r="A282" s="41" t="inlineStr">
        <is>
          <t>RBAC-02</t>
        </is>
      </c>
      <c r="B282" s="41" t="inlineStr">
        <is>
          <t>Roles &amp; Access (RBAC)</t>
        </is>
      </c>
      <c r="C282" s="41" t="inlineStr">
        <is>
          <t>Clerk</t>
        </is>
      </c>
      <c r="D282" s="41" t="inlineStr">
        <is>
          <t>Security</t>
        </is>
      </c>
      <c r="E282" s="41" t="inlineStr">
        <is>
          <t>High</t>
        </is>
      </c>
      <c r="F282" s="41" t="inlineStr">
        <is>
          <t>Clerk</t>
        </is>
      </c>
      <c r="G282" s="41" t="inlineStr">
        <is>
          <t>Student with identity numbers</t>
        </is>
      </c>
      <c r="H282" s="41" t="inlineStr">
        <is>
          <t>View the student</t>
        </is>
      </c>
      <c r="I282" s="41" t="inlineStr">
        <is>
          <t>Identity numbers masked</t>
        </is>
      </c>
      <c r="J282" s="42" t="n"/>
      <c r="K282" s="42" t="inlineStr">
        <is>
          <t>Not Run</t>
        </is>
      </c>
      <c r="L282" s="42" t="n"/>
      <c r="M282" s="43" t="n"/>
      <c r="N282" s="42" t="n"/>
      <c r="O282" s="42" t="n"/>
    </row>
    <row r="283" ht="23.25" customHeight="1" s="24">
      <c r="A283" s="41" t="inlineStr">
        <is>
          <t>RBAC-03</t>
        </is>
      </c>
      <c r="B283" s="41" t="inlineStr">
        <is>
          <t>Roles &amp; Access (RBAC)</t>
        </is>
      </c>
      <c r="C283" s="41" t="inlineStr">
        <is>
          <t>Supervisor</t>
        </is>
      </c>
      <c r="D283" s="41" t="inlineStr">
        <is>
          <t>Security</t>
        </is>
      </c>
      <c r="E283" s="41" t="inlineStr">
        <is>
          <t>Medium</t>
        </is>
      </c>
      <c r="F283" s="41" t="inlineStr">
        <is>
          <t>Supervisor</t>
        </is>
      </c>
      <c r="G283" s="41" t="n"/>
      <c r="H283" s="41" t="inlineStr">
        <is>
          <t>View a student's identity numbers; try to edit them</t>
        </is>
      </c>
      <c r="I283" s="41" t="inlineStr">
        <is>
          <t>Supervisor can view as the role allows, but cannot edit identity: that needs both Students.Edit and Students.ViewSensitive (expect the edit to be hidden or refused with 403)</t>
        </is>
      </c>
      <c r="J283" s="42" t="n"/>
      <c r="K283" s="42" t="inlineStr">
        <is>
          <t>Not Run</t>
        </is>
      </c>
      <c r="L283" s="42" t="n"/>
      <c r="M283" s="43" t="n"/>
      <c r="N283" s="42" t="n"/>
      <c r="O283" s="42" t="inlineStr">
        <is>
          <t>Reworded Oct 15</t>
        </is>
      </c>
    </row>
    <row r="284" ht="15" customHeight="1" s="24">
      <c r="A284" s="41" t="inlineStr">
        <is>
          <t>RBAC-04</t>
        </is>
      </c>
      <c r="B284" s="41" t="inlineStr">
        <is>
          <t>Roles &amp; Access (RBAC)</t>
        </is>
      </c>
      <c r="C284" s="41" t="inlineStr">
        <is>
          <t>Teacher</t>
        </is>
      </c>
      <c r="D284" s="41" t="inlineStr">
        <is>
          <t>Functional</t>
        </is>
      </c>
      <c r="E284" s="41" t="inlineStr">
        <is>
          <t>High</t>
        </is>
      </c>
      <c r="F284" s="41" t="inlineStr">
        <is>
          <t>Teacher</t>
        </is>
      </c>
      <c r="G284" s="41" t="n"/>
      <c r="H284" s="41" t="inlineStr">
        <is>
          <t>Mark attendance for own class</t>
        </is>
      </c>
      <c r="I284" s="41" t="inlineStr">
        <is>
          <t>Works</t>
        </is>
      </c>
      <c r="J284" s="42" t="n"/>
      <c r="K284" s="42" t="inlineStr">
        <is>
          <t>Not Run</t>
        </is>
      </c>
      <c r="L284" s="42" t="n"/>
      <c r="M284" s="43" t="n"/>
      <c r="N284" s="42" t="n"/>
      <c r="O284" s="42" t="n"/>
    </row>
    <row r="285" ht="15" customHeight="1" s="24">
      <c r="A285" s="41" t="inlineStr">
        <is>
          <t>RBAC-05</t>
        </is>
      </c>
      <c r="B285" s="41" t="inlineStr">
        <is>
          <t>Roles &amp; Access (RBAC)</t>
        </is>
      </c>
      <c r="C285" s="41" t="inlineStr">
        <is>
          <t>Teacher</t>
        </is>
      </c>
      <c r="D285" s="41" t="inlineStr">
        <is>
          <t>Security</t>
        </is>
      </c>
      <c r="E285" s="41" t="inlineStr">
        <is>
          <t>High</t>
        </is>
      </c>
      <c r="F285" s="41" t="inlineStr">
        <is>
          <t>Teacher</t>
        </is>
      </c>
      <c r="G285" s="41" t="n"/>
      <c r="H285" s="41" t="inlineStr">
        <is>
          <t>Look for Admissions in the menu; type /admissions in the address bar</t>
        </is>
      </c>
      <c r="I285" s="41" t="inlineStr">
        <is>
          <t>Admissions is not in the Teacher menu; the URL redirects away (Teacher has no Admissions.View); nothing created</t>
        </is>
      </c>
      <c r="J285" s="42" t="n"/>
      <c r="K285" s="42" t="inlineStr">
        <is>
          <t>Not Run</t>
        </is>
      </c>
      <c r="L285" s="42" t="n"/>
      <c r="M285" s="43" t="n"/>
      <c r="N285" s="42" t="n"/>
      <c r="O285" s="42" t="inlineStr">
        <is>
          <t>Reworded Oct 15</t>
        </is>
      </c>
    </row>
    <row r="286" ht="23.25" customHeight="1" s="24">
      <c r="A286" s="41" t="inlineStr">
        <is>
          <t>RBAC-06</t>
        </is>
      </c>
      <c r="B286" s="41" t="inlineStr">
        <is>
          <t>Roles &amp; Access (RBAC)</t>
        </is>
      </c>
      <c r="C286" s="41" t="inlineStr">
        <is>
          <t>Permission change</t>
        </is>
      </c>
      <c r="D286" s="41" t="inlineStr">
        <is>
          <t>Functional</t>
        </is>
      </c>
      <c r="E286" s="41" t="inlineStr">
        <is>
          <t>High</t>
        </is>
      </c>
      <c r="F286" s="41" t="inlineStr">
        <is>
          <t>Admin</t>
        </is>
      </c>
      <c r="G286" s="41" t="inlineStr">
        <is>
          <t>User logged in</t>
        </is>
      </c>
      <c r="H286" s="41" t="inlineStr">
        <is>
          <t>Admin changes the user's role/permissions</t>
        </is>
      </c>
      <c r="I286" s="41" t="inlineStr">
        <is>
          <t>User gets the new rights on next request (record whether re-login is needed)</t>
        </is>
      </c>
      <c r="J286" s="42" t="n"/>
      <c r="K286" s="42" t="inlineStr">
        <is>
          <t>Not Run</t>
        </is>
      </c>
      <c r="L286" s="42" t="n"/>
      <c r="M286" s="43" t="n"/>
      <c r="N286" s="42" t="n"/>
      <c r="O286" s="42" t="n"/>
    </row>
    <row r="287" ht="15" customHeight="1" s="24">
      <c r="A287" s="41" t="inlineStr">
        <is>
          <t>RBAC-07</t>
        </is>
      </c>
      <c r="B287" s="41" t="inlineStr">
        <is>
          <t>Roles &amp; Access (RBAC)</t>
        </is>
      </c>
      <c r="C287" s="41" t="inlineStr">
        <is>
          <t>Direct URL</t>
        </is>
      </c>
      <c r="D287" s="41" t="inlineStr">
        <is>
          <t>Security</t>
        </is>
      </c>
      <c r="E287" s="41" t="inlineStr">
        <is>
          <t>High</t>
        </is>
      </c>
      <c r="F287" s="41" t="inlineStr">
        <is>
          <t>Any</t>
        </is>
      </c>
      <c r="G287" s="41" t="inlineStr">
        <is>
          <t>User without permission for a page</t>
        </is>
      </c>
      <c r="H287" s="41" t="inlineStr">
        <is>
          <t>Type that page's URL</t>
        </is>
      </c>
      <c r="I287" s="41" t="inlineStr">
        <is>
          <t>No data shown; safe redirect or message</t>
        </is>
      </c>
      <c r="J287" s="42" t="n"/>
      <c r="K287" s="42" t="inlineStr">
        <is>
          <t>Not Run</t>
        </is>
      </c>
      <c r="L287" s="42" t="n"/>
      <c r="M287" s="43" t="n"/>
      <c r="N287" s="42" t="n"/>
      <c r="O287" s="42" t="n"/>
    </row>
    <row r="288" ht="23.25" customHeight="1" s="24">
      <c r="A288" s="41" t="inlineStr">
        <is>
          <t>RBAC-08</t>
        </is>
      </c>
      <c r="B288" s="41" t="inlineStr">
        <is>
          <t>Roles &amp; Access (RBAC)</t>
        </is>
      </c>
      <c r="C288" s="41" t="inlineStr">
        <is>
          <t>API</t>
        </is>
      </c>
      <c r="D288" s="41" t="inlineStr">
        <is>
          <t>Security</t>
        </is>
      </c>
      <c r="E288" s="41" t="inlineStr">
        <is>
          <t>High</t>
        </is>
      </c>
      <c r="F288" s="41" t="inlineStr">
        <is>
          <t>Any</t>
        </is>
      </c>
      <c r="G288" s="41" t="n"/>
      <c r="H288" s="41" t="inlineStr">
        <is>
          <t>(Technical tester) call an endpoint with a missing / expired / another user's token in Swagger or Postman</t>
        </is>
      </c>
      <c r="I288" s="41" t="inlineStr">
        <is>
          <t>401 for no/invalid token, 403 for missing permission, never data</t>
        </is>
      </c>
      <c r="J288" s="42" t="n"/>
      <c r="K288" s="42" t="inlineStr">
        <is>
          <t>Not Run</t>
        </is>
      </c>
      <c r="L288" s="42" t="n"/>
      <c r="M288" s="43" t="n"/>
      <c r="N288" s="42" t="n"/>
      <c r="O288" s="42" t="n"/>
    </row>
    <row r="289" ht="57" customHeight="1" s="24">
      <c r="A289" s="41" t="inlineStr">
        <is>
          <t>E2E-01</t>
        </is>
      </c>
      <c r="B289" s="41" t="inlineStr">
        <is>
          <t>End-to-End</t>
        </is>
      </c>
      <c r="C289" s="41" t="inlineStr">
        <is>
          <t>Full school day</t>
        </is>
      </c>
      <c r="D289" s="41" t="inlineStr">
        <is>
          <t>Functional</t>
        </is>
      </c>
      <c r="E289" s="41" t="inlineStr">
        <is>
          <t>High</t>
        </is>
      </c>
      <c r="F289" s="41" t="inlineStr">
        <is>
          <t>Admin</t>
        </is>
      </c>
      <c r="G289" s="41" t="inlineStr">
        <is>
          <t>Clean ZT test data</t>
        </is>
      </c>
      <c r="H289" s="41" t="inlineStr">
        <is>
          <t>1) Admin logs in. 2) Create 'ZT Class A' (cap 30) and 'ZT Class B'. 3) Subject 'ZT Math' in A. 4) Create teacher zt.teacher1, assign Math in A and make class teacher. 5) Parent 'ZT Father' mobile 9876501111. 6) Register 'ZTKid One' with Father (same mobile) and Mother (new mobile); confirm with fee 500; enrol into A.</t>
        </is>
      </c>
      <c r="I289" s="41" t="inlineStr">
        <is>
          <t>Father matched to the existing parent, Mother created new; student Active; Linked Parents shows both; History shows one Active row</t>
        </is>
      </c>
      <c r="J289" s="42" t="n"/>
      <c r="K289" s="42" t="inlineStr">
        <is>
          <t>Not Run</t>
        </is>
      </c>
      <c r="L289" s="42" t="n"/>
      <c r="M289" s="43" t="n"/>
      <c r="N289" s="42" t="n"/>
      <c r="O289" s="42" t="n"/>
    </row>
    <row r="290" ht="23.25" customHeight="1" s="24">
      <c r="A290" s="41" t="inlineStr">
        <is>
          <t>E2E-02</t>
        </is>
      </c>
      <c r="B290" s="41" t="inlineStr">
        <is>
          <t>End-to-End</t>
        </is>
      </c>
      <c r="C290" s="41" t="inlineStr">
        <is>
          <t>Full school day</t>
        </is>
      </c>
      <c r="D290" s="41" t="inlineStr">
        <is>
          <t>Functional</t>
        </is>
      </c>
      <c r="E290" s="41" t="inlineStr">
        <is>
          <t>High</t>
        </is>
      </c>
      <c r="F290" s="41" t="inlineStr">
        <is>
          <t>Admin</t>
        </is>
      </c>
      <c r="G290" s="41" t="inlineStr">
        <is>
          <t>After E2E-01</t>
        </is>
      </c>
      <c r="H290" s="41" t="inlineStr">
        <is>
          <t>Edit the student: allergy, one pickup person, blood group; reopen. Move to Class B, then back to A</t>
        </is>
      </c>
      <c r="I290" s="41" t="inlineStr">
        <is>
          <t>Everything persisted; History shows Transferred + Active and then a third row</t>
        </is>
      </c>
      <c r="J290" s="42" t="n"/>
      <c r="K290" s="42" t="inlineStr">
        <is>
          <t>Not Run</t>
        </is>
      </c>
      <c r="L290" s="42" t="n"/>
      <c r="M290" s="43" t="n"/>
      <c r="N290" s="42" t="n"/>
      <c r="O290" s="42" t="n"/>
    </row>
    <row r="291" ht="15" customHeight="1" s="24">
      <c r="A291" s="41" t="inlineStr">
        <is>
          <t>E2E-03</t>
        </is>
      </c>
      <c r="B291" s="41" t="inlineStr">
        <is>
          <t>End-to-End</t>
        </is>
      </c>
      <c r="C291" s="41" t="inlineStr">
        <is>
          <t>Full school day</t>
        </is>
      </c>
      <c r="D291" s="41" t="inlineStr">
        <is>
          <t>Functional</t>
        </is>
      </c>
      <c r="E291" s="41" t="inlineStr">
        <is>
          <t>High</t>
        </is>
      </c>
      <c r="F291" s="41" t="inlineStr">
        <is>
          <t>Admin</t>
        </is>
      </c>
      <c r="G291" s="41" t="inlineStr">
        <is>
          <t>After E2E-02</t>
        </is>
      </c>
      <c r="H291" s="41" t="inlineStr">
        <is>
          <t>Mark class A today: Mark All Present, one Late, one Absent; Save; reload</t>
        </is>
      </c>
      <c r="I291" s="41" t="inlineStr">
        <is>
          <t>Saved values returned</t>
        </is>
      </c>
      <c r="J291" s="42" t="n"/>
      <c r="K291" s="42" t="inlineStr">
        <is>
          <t>Not Run</t>
        </is>
      </c>
      <c r="L291" s="42" t="n"/>
      <c r="M291" s="43" t="n"/>
      <c r="N291" s="42" t="n"/>
      <c r="O291" s="42" t="n"/>
    </row>
    <row r="292" ht="23.25" customHeight="1" s="24">
      <c r="A292" s="41" t="inlineStr">
        <is>
          <t>E2E-04</t>
        </is>
      </c>
      <c r="B292" s="41" t="inlineStr">
        <is>
          <t>End-to-End</t>
        </is>
      </c>
      <c r="C292" s="41" t="inlineStr">
        <is>
          <t>Full school day</t>
        </is>
      </c>
      <c r="D292" s="41" t="inlineStr">
        <is>
          <t>Security</t>
        </is>
      </c>
      <c r="E292" s="41" t="inlineStr">
        <is>
          <t>High</t>
        </is>
      </c>
      <c r="F292" s="41" t="inlineStr">
        <is>
          <t>Teacher / Clerk</t>
        </is>
      </c>
      <c r="G292" s="41" t="inlineStr">
        <is>
          <t>After E2E-03</t>
        </is>
      </c>
      <c r="H292" s="41" t="inlineStr">
        <is>
          <t>Log in as zt.teacher1: class A editable, class B read-only. Log in as Clerk: identity masked, adding a class gives a friendly 403</t>
        </is>
      </c>
      <c r="I292" s="41" t="inlineStr">
        <is>
          <t>As stated</t>
        </is>
      </c>
      <c r="J292" s="42" t="n"/>
      <c r="K292" s="42" t="inlineStr">
        <is>
          <t>Not Run</t>
        </is>
      </c>
      <c r="L292" s="42" t="n"/>
      <c r="M292" s="43" t="n"/>
      <c r="N292" s="42" t="n"/>
      <c r="O292" s="42" t="n"/>
    </row>
    <row r="293" ht="23.25" customHeight="1" s="24">
      <c r="A293" s="41" t="inlineStr">
        <is>
          <t>E2E-05</t>
        </is>
      </c>
      <c r="B293" s="41" t="inlineStr">
        <is>
          <t>End-to-End</t>
        </is>
      </c>
      <c r="C293" s="41" t="inlineStr">
        <is>
          <t>Full school day</t>
        </is>
      </c>
      <c r="D293" s="41" t="inlineStr">
        <is>
          <t>Functional</t>
        </is>
      </c>
      <c r="E293" s="41" t="inlineStr">
        <is>
          <t>Medium</t>
        </is>
      </c>
      <c r="F293" s="41" t="inlineStr">
        <is>
          <t>Admin</t>
        </is>
      </c>
      <c r="G293" s="41" t="n"/>
      <c r="H293" s="41" t="inlineStr">
        <is>
          <t>Reject a new application with a reason; open View Rejection Reason. Then delete all ZT data in reverse order</t>
        </is>
      </c>
      <c r="I293" s="41" t="inlineStr">
        <is>
          <t>Reason shown; deletions succeed in order (students, parents, subjects, teachers, classes)</t>
        </is>
      </c>
      <c r="J293" s="42" t="n"/>
      <c r="K293" s="42" t="inlineStr">
        <is>
          <t>Not Run</t>
        </is>
      </c>
      <c r="L293" s="42" t="n"/>
      <c r="M293" s="43" t="n"/>
      <c r="N293" s="42" t="n"/>
      <c r="O293" s="42" t="n"/>
    </row>
    <row r="294" ht="34.5" customHeight="1" s="24">
      <c r="A294" s="41" t="inlineStr">
        <is>
          <t>E2E-06</t>
        </is>
      </c>
      <c r="B294" s="41" t="inlineStr">
        <is>
          <t>End-to-End</t>
        </is>
      </c>
      <c r="C294" s="41" t="inlineStr">
        <is>
          <t>Sibling admission</t>
        </is>
      </c>
      <c r="D294" s="41" t="inlineStr">
        <is>
          <t>Functional</t>
        </is>
      </c>
      <c r="E294" s="41" t="inlineStr">
        <is>
          <t>High</t>
        </is>
      </c>
      <c r="F294" s="41" t="inlineStr">
        <is>
          <t>Admin</t>
        </is>
      </c>
      <c r="G294" s="41" t="n"/>
      <c r="H294" s="41" t="inlineStr">
        <is>
          <t>Register two applicants with the SAME father mobile; enrol the first with Father 'Create new'. Register the second and pick the same father with 'Pick an existing parent'; enrol it</t>
        </is>
      </c>
      <c r="I294" s="41" t="inlineStr">
        <is>
          <t>Second child linked to the same father; Parents list shows one father with two children; no duplicate parent</t>
        </is>
      </c>
      <c r="J294" s="42" t="n"/>
      <c r="K294" s="42" t="inlineStr">
        <is>
          <t>Not Run</t>
        </is>
      </c>
      <c r="L294" s="42" t="n"/>
      <c r="M294" s="43" t="n"/>
      <c r="N294" s="42" t="n"/>
      <c r="O294" s="42" t="n"/>
    </row>
    <row r="295" ht="23.25" customHeight="1" s="24">
      <c r="A295" s="41" t="inlineStr">
        <is>
          <t>E2E-07</t>
        </is>
      </c>
      <c r="B295" s="41" t="inlineStr">
        <is>
          <t>End-to-End</t>
        </is>
      </c>
      <c r="C295" s="41" t="inlineStr">
        <is>
          <t>Sibling admission</t>
        </is>
      </c>
      <c r="D295" s="41" t="inlineStr">
        <is>
          <t>Functional</t>
        </is>
      </c>
      <c r="E295" s="41" t="inlineStr">
        <is>
          <t>Medium</t>
        </is>
      </c>
      <c r="F295" s="41" t="inlineStr">
        <is>
          <t>Admin</t>
        </is>
      </c>
      <c r="G295" s="41" t="n"/>
      <c r="H295" s="41" t="inlineStr">
        <is>
          <t>Create a second parent with the same mobile; enrol a third applicant typed with that mobile</t>
        </is>
      </c>
      <c r="I295" s="41" t="inlineStr">
        <is>
          <t>Enrol dialog forces a choice and shows both candidates</t>
        </is>
      </c>
      <c r="J295" s="42" t="n"/>
      <c r="K295" s="42" t="inlineStr">
        <is>
          <t>Not Run</t>
        </is>
      </c>
      <c r="L295" s="42" t="n"/>
      <c r="M295" s="43" t="n"/>
      <c r="N295" s="42" t="n"/>
      <c r="O295" s="42" t="n"/>
    </row>
    <row r="296" ht="23.25" customHeight="1" s="24">
      <c r="A296" s="41" t="inlineStr">
        <is>
          <t>E2E-08</t>
        </is>
      </c>
      <c r="B296" s="41" t="inlineStr">
        <is>
          <t>End-to-End</t>
        </is>
      </c>
      <c r="C296" s="41" t="inlineStr">
        <is>
          <t>Class full / inactive</t>
        </is>
      </c>
      <c r="D296" s="41" t="inlineStr">
        <is>
          <t>Functional</t>
        </is>
      </c>
      <c r="E296" s="41" t="inlineStr">
        <is>
          <t>Medium</t>
        </is>
      </c>
      <c r="F296" s="41" t="inlineStr">
        <is>
          <t>Admin</t>
        </is>
      </c>
      <c r="G296" s="41" t="n"/>
      <c r="H296" s="41" t="inlineStr">
        <is>
          <t>Class capacity 1: enrol one student, try a second. Then deactivate a class</t>
        </is>
      </c>
      <c r="I296" s="41" t="inlineStr">
        <is>
          <t>Second enrolment 'is full'; inactive class disappears from application/enrol class lists; existing applicant can still be edited</t>
        </is>
      </c>
      <c r="J296" s="42" t="n"/>
      <c r="K296" s="42" t="inlineStr">
        <is>
          <t>Not Run</t>
        </is>
      </c>
      <c r="L296" s="42" t="n"/>
      <c r="M296" s="43" t="n"/>
      <c r="N296" s="42" t="n"/>
      <c r="O296" s="42" t="n"/>
    </row>
    <row r="297" ht="23.25" customHeight="1" s="24">
      <c r="A297" s="41" t="inlineStr">
        <is>
          <t>E2E-09</t>
        </is>
      </c>
      <c r="B297" s="41" t="inlineStr">
        <is>
          <t>End-to-End</t>
        </is>
      </c>
      <c r="C297" s="41" t="inlineStr">
        <is>
          <t>Left and return</t>
        </is>
      </c>
      <c r="D297" s="41" t="inlineStr">
        <is>
          <t>Functional</t>
        </is>
      </c>
      <c r="E297" s="41" t="inlineStr">
        <is>
          <t>Medium</t>
        </is>
      </c>
      <c r="F297" s="41" t="inlineStr">
        <is>
          <t>Admin</t>
        </is>
      </c>
      <c r="G297" s="41" t="n"/>
      <c r="H297" s="41" t="inlineStr">
        <is>
          <t>Mark a student Left; check class strength and attendance roster for a new date; set Active again</t>
        </is>
      </c>
      <c r="I297" s="41" t="inlineStr">
        <is>
          <t>Strength drops then returns; roster excludes the student while Left; History has Left then new Active row</t>
        </is>
      </c>
      <c r="J297" s="42" t="n"/>
      <c r="K297" s="42" t="inlineStr">
        <is>
          <t>Not Run</t>
        </is>
      </c>
      <c r="L297" s="42" t="n"/>
      <c r="M297" s="43" t="n"/>
      <c r="N297" s="42" t="n"/>
      <c r="O297" s="42" t="n"/>
    </row>
    <row r="298" ht="23.25" customHeight="1" s="24">
      <c r="A298" s="41" t="inlineStr">
        <is>
          <t>E2E-10</t>
        </is>
      </c>
      <c r="B298" s="41" t="inlineStr">
        <is>
          <t>End-to-End</t>
        </is>
      </c>
      <c r="C298" s="41" t="inlineStr">
        <is>
          <t>Staff lifecycle</t>
        </is>
      </c>
      <c r="D298" s="41" t="inlineStr">
        <is>
          <t>Functional</t>
        </is>
      </c>
      <c r="E298" s="41" t="inlineStr">
        <is>
          <t>High</t>
        </is>
      </c>
      <c r="F298" s="41" t="inlineStr">
        <is>
          <t>Admin</t>
        </is>
      </c>
      <c r="G298" s="41" t="n"/>
      <c r="H298" s="41" t="inlineStr">
        <is>
          <t>Create a Clerk user -&gt; log in (forced password change) -&gt; Admin resets password -&gt; suspend -&gt; unlock/activate -&gt; delete</t>
        </is>
      </c>
      <c r="I298" s="41" t="inlineStr">
        <is>
          <t>Each step behaves as the USR cases; deleted user cannot log in and username is reusable</t>
        </is>
      </c>
      <c r="J298" s="42" t="n"/>
      <c r="K298" s="42" t="inlineStr">
        <is>
          <t>Not Run</t>
        </is>
      </c>
      <c r="L298" s="42" t="n"/>
      <c r="M298" s="43" t="n"/>
      <c r="N298" s="42" t="n"/>
      <c r="O298" s="42" t="n"/>
    </row>
    <row r="299" ht="23.25" customHeight="1" s="24">
      <c r="A299" s="41" t="inlineStr">
        <is>
          <t>E2E-11</t>
        </is>
      </c>
      <c r="B299" s="41" t="inlineStr">
        <is>
          <t>End-to-End</t>
        </is>
      </c>
      <c r="C299" s="41" t="inlineStr">
        <is>
          <t>Documents</t>
        </is>
      </c>
      <c r="D299" s="41" t="inlineStr">
        <is>
          <t>Functional</t>
        </is>
      </c>
      <c r="E299" s="41" t="inlineStr">
        <is>
          <t>High</t>
        </is>
      </c>
      <c r="F299" s="41" t="inlineStr">
        <is>
          <t>Admin</t>
        </is>
      </c>
      <c r="G299" s="41" t="inlineStr">
        <is>
          <t>Two Admin-level users (one uploads, one reviews)</t>
        </is>
      </c>
      <c r="H299" s="41" t="inlineStr">
        <is>
          <t>Register an application with a Birth certificate; confirm; enrol; reviewer verifies the document; check it on the student; unverify; delete</t>
        </is>
      </c>
      <c r="I299" s="41" t="inlineStr">
        <is>
          <t>Document is visible on the student (record if not); no self-review; a verified document cannot be deleted until unverified</t>
        </is>
      </c>
      <c r="J299" s="42" t="n"/>
      <c r="K299" s="42" t="inlineStr">
        <is>
          <t>Not Run</t>
        </is>
      </c>
      <c r="L299" s="42" t="n"/>
      <c r="M299" s="43" t="n"/>
      <c r="N299" s="42" t="n"/>
      <c r="O299" s="42" t="n"/>
    </row>
    <row r="300" ht="23.25" customHeight="1" s="24">
      <c r="A300" s="41" t="inlineStr">
        <is>
          <t>NFR-01</t>
        </is>
      </c>
      <c r="B300" s="41" t="inlineStr">
        <is>
          <t>Non-functional</t>
        </is>
      </c>
      <c r="C300" s="41" t="inlineStr">
        <is>
          <t>Browsers</t>
        </is>
      </c>
      <c r="D300" s="41" t="inlineStr">
        <is>
          <t>UI</t>
        </is>
      </c>
      <c r="E300" s="41" t="inlineStr">
        <is>
          <t>Medium</t>
        </is>
      </c>
      <c r="F300" s="41" t="inlineStr">
        <is>
          <t>Any</t>
        </is>
      </c>
      <c r="G300" s="41" t="n"/>
      <c r="H300" s="41" t="inlineStr">
        <is>
          <t>Repeat a core flow (login, admission, attendance) on Chrome and Edge (and Firefox/Safari if used)</t>
        </is>
      </c>
      <c r="I300" s="41" t="inlineStr">
        <is>
          <t>Same behaviour</t>
        </is>
      </c>
      <c r="J300" s="42" t="n"/>
      <c r="K300" s="42" t="inlineStr">
        <is>
          <t>Not Run</t>
        </is>
      </c>
      <c r="L300" s="42" t="n"/>
      <c r="M300" s="43" t="n"/>
      <c r="N300" s="42" t="n"/>
      <c r="O300" s="42" t="n"/>
    </row>
    <row r="301" ht="23.25" customHeight="1" s="24">
      <c r="A301" s="41" t="inlineStr">
        <is>
          <t>NFR-02</t>
        </is>
      </c>
      <c r="B301" s="41" t="inlineStr">
        <is>
          <t>Non-functional</t>
        </is>
      </c>
      <c r="C301" s="41" t="inlineStr">
        <is>
          <t>Accessibility</t>
        </is>
      </c>
      <c r="D301" s="41" t="inlineStr">
        <is>
          <t>UI</t>
        </is>
      </c>
      <c r="E301" s="41" t="inlineStr">
        <is>
          <t>Medium</t>
        </is>
      </c>
      <c r="F301" s="41" t="inlineStr">
        <is>
          <t>Any</t>
        </is>
      </c>
      <c r="G301" s="41" t="n"/>
      <c r="H301" s="41" t="inlineStr">
        <is>
          <t>Use only the keyboard on a form: Tab order, Enter to submit, Esc to close modals</t>
        </is>
      </c>
      <c r="I301" s="41" t="inlineStr">
        <is>
          <t>Logical order, visible focus</t>
        </is>
      </c>
      <c r="J301" s="42" t="n"/>
      <c r="K301" s="42" t="inlineStr">
        <is>
          <t>Not Run</t>
        </is>
      </c>
      <c r="L301" s="42" t="n"/>
      <c r="M301" s="43" t="n"/>
      <c r="N301" s="42" t="n"/>
      <c r="O301" s="42" t="n"/>
    </row>
    <row r="302" ht="15" customHeight="1" s="24">
      <c r="A302" s="41" t="inlineStr">
        <is>
          <t>NFR-03</t>
        </is>
      </c>
      <c r="B302" s="41" t="inlineStr">
        <is>
          <t>Non-functional</t>
        </is>
      </c>
      <c r="C302" s="41" t="inlineStr">
        <is>
          <t>Zoom</t>
        </is>
      </c>
      <c r="D302" s="41" t="inlineStr">
        <is>
          <t>UI</t>
        </is>
      </c>
      <c r="E302" s="41" t="inlineStr">
        <is>
          <t>Low</t>
        </is>
      </c>
      <c r="F302" s="41" t="inlineStr">
        <is>
          <t>Any</t>
        </is>
      </c>
      <c r="G302" s="41" t="n"/>
      <c r="H302" s="41" t="inlineStr">
        <is>
          <t>Browser zoom 150%</t>
        </is>
      </c>
      <c r="I302" s="41" t="inlineStr">
        <is>
          <t>Layout intact</t>
        </is>
      </c>
      <c r="J302" s="42" t="n"/>
      <c r="K302" s="42" t="inlineStr">
        <is>
          <t>Not Run</t>
        </is>
      </c>
      <c r="L302" s="42" t="n"/>
      <c r="M302" s="43" t="n"/>
      <c r="N302" s="42" t="n"/>
      <c r="O302" s="42" t="n"/>
    </row>
    <row r="303" ht="15" customHeight="1" s="24">
      <c r="A303" s="41" t="inlineStr">
        <is>
          <t>NFR-04</t>
        </is>
      </c>
      <c r="B303" s="41" t="inlineStr">
        <is>
          <t>Non-functional</t>
        </is>
      </c>
      <c r="C303" s="41" t="inlineStr">
        <is>
          <t>Volume</t>
        </is>
      </c>
      <c r="D303" s="41" t="inlineStr">
        <is>
          <t>Functional</t>
        </is>
      </c>
      <c r="E303" s="41" t="inlineStr">
        <is>
          <t>Low</t>
        </is>
      </c>
      <c r="F303" s="41" t="inlineStr">
        <is>
          <t>Admin</t>
        </is>
      </c>
      <c r="G303" s="41" t="inlineStr">
        <is>
          <t>~500 students (seed via SQL)</t>
        </is>
      </c>
      <c r="H303" s="41" t="inlineStr">
        <is>
          <t>Open Students, filter, search</t>
        </is>
      </c>
      <c r="I303" s="41" t="inlineStr">
        <is>
          <t>Page renders in about 2 s; filters stay responsive</t>
        </is>
      </c>
      <c r="J303" s="42" t="n"/>
      <c r="K303" s="42" t="inlineStr">
        <is>
          <t>Not Run</t>
        </is>
      </c>
      <c r="L303" s="42" t="n"/>
      <c r="M303" s="43" t="n"/>
      <c r="N303" s="42" t="n"/>
      <c r="O303" s="42" t="n"/>
    </row>
    <row r="304" ht="15" customHeight="1" s="24">
      <c r="A304" s="41" t="inlineStr">
        <is>
          <t>NFR-05</t>
        </is>
      </c>
      <c r="B304" s="41" t="inlineStr">
        <is>
          <t>Non-functional</t>
        </is>
      </c>
      <c r="C304" s="41" t="inlineStr">
        <is>
          <t>Slow network</t>
        </is>
      </c>
      <c r="D304" s="41" t="inlineStr">
        <is>
          <t>Negative</t>
        </is>
      </c>
      <c r="E304" s="41" t="inlineStr">
        <is>
          <t>Low</t>
        </is>
      </c>
      <c r="F304" s="41" t="inlineStr">
        <is>
          <t>Any</t>
        </is>
      </c>
      <c r="G304" s="41" t="n"/>
      <c r="H304" s="41" t="inlineStr">
        <is>
          <t>Use browser 'Slow 3G'; save something</t>
        </is>
      </c>
      <c r="I304" s="41" t="inlineStr">
        <is>
          <t>Loading states visible; no duplicate submissions</t>
        </is>
      </c>
      <c r="J304" s="42" t="n"/>
      <c r="K304" s="42" t="inlineStr">
        <is>
          <t>Not Run</t>
        </is>
      </c>
      <c r="L304" s="42" t="n"/>
      <c r="M304" s="43" t="n"/>
      <c r="N304" s="42" t="n"/>
      <c r="O304" s="42" t="n"/>
    </row>
    <row r="305" ht="15" customHeight="1" s="24">
      <c r="A305" s="41" t="inlineStr">
        <is>
          <t>NFR-06</t>
        </is>
      </c>
      <c r="B305" s="41" t="inlineStr">
        <is>
          <t>Non-functional</t>
        </is>
      </c>
      <c r="C305" s="41" t="inlineStr">
        <is>
          <t>Double submit</t>
        </is>
      </c>
      <c r="D305" s="41" t="inlineStr">
        <is>
          <t>Negative</t>
        </is>
      </c>
      <c r="E305" s="41" t="inlineStr">
        <is>
          <t>Medium</t>
        </is>
      </c>
      <c r="F305" s="41" t="inlineStr">
        <is>
          <t>Any</t>
        </is>
      </c>
      <c r="G305" s="41" t="n"/>
      <c r="H305" s="41" t="inlineStr">
        <is>
          <t>Double-click Save buttons on each form</t>
        </is>
      </c>
      <c r="I305" s="41" t="inlineStr">
        <is>
          <t>One request / one record each</t>
        </is>
      </c>
      <c r="J305" s="42" t="n"/>
      <c r="K305" s="42" t="inlineStr">
        <is>
          <t>Not Run</t>
        </is>
      </c>
      <c r="L305" s="42" t="n"/>
      <c r="M305" s="43" t="n"/>
      <c r="N305" s="42" t="n"/>
      <c r="O305" s="42" t="n"/>
    </row>
    <row r="306" ht="15" customHeight="1" s="24">
      <c r="A306" s="41" t="inlineStr">
        <is>
          <t>NFR-07</t>
        </is>
      </c>
      <c r="B306" s="41" t="inlineStr">
        <is>
          <t>Non-functional</t>
        </is>
      </c>
      <c r="C306" s="41" t="inlineStr">
        <is>
          <t>Console / network</t>
        </is>
      </c>
      <c r="D306" s="41" t="inlineStr">
        <is>
          <t>Functional</t>
        </is>
      </c>
      <c r="E306" s="41" t="inlineStr">
        <is>
          <t>High</t>
        </is>
      </c>
      <c r="F306" s="41" t="inlineStr">
        <is>
          <t>Any</t>
        </is>
      </c>
      <c r="G306" s="41" t="inlineStr">
        <is>
          <t>DevTools open</t>
        </is>
      </c>
      <c r="H306" s="41" t="inlineStr">
        <is>
          <t>Run through any module</t>
        </is>
      </c>
      <c r="I306" s="41" t="inlineStr">
        <is>
          <t>No red console errors; no 500 responses at any point</t>
        </is>
      </c>
      <c r="J306" s="42" t="n"/>
      <c r="K306" s="42" t="inlineStr">
        <is>
          <t>Not Run</t>
        </is>
      </c>
      <c r="L306" s="42" t="n"/>
      <c r="M306" s="43" t="n"/>
      <c r="N306" s="42" t="n"/>
      <c r="O306" s="42" t="n"/>
    </row>
    <row r="307" ht="15" customHeight="1" s="24">
      <c r="A307" s="41" t="inlineStr">
        <is>
          <t>NFR-08</t>
        </is>
      </c>
      <c r="B307" s="41" t="inlineStr">
        <is>
          <t>Non-functional</t>
        </is>
      </c>
      <c r="C307" s="41" t="inlineStr">
        <is>
          <t>Dates</t>
        </is>
      </c>
      <c r="D307" s="41" t="inlineStr">
        <is>
          <t>Exploratory</t>
        </is>
      </c>
      <c r="E307" s="41" t="inlineStr">
        <is>
          <t>Low</t>
        </is>
      </c>
      <c r="F307" s="41" t="inlineStr">
        <is>
          <t>Any</t>
        </is>
      </c>
      <c r="G307" s="41" t="n"/>
      <c r="H307" s="41" t="inlineStr">
        <is>
          <t>Check date display and entry (dd/mm/yyyy vs mm/dd) on several forms</t>
        </is>
      </c>
      <c r="I307" s="41" t="inlineStr">
        <is>
          <t>Consistent and unambiguous; invalid dates refused</t>
        </is>
      </c>
      <c r="J307" s="42" t="n"/>
      <c r="K307" s="42" t="inlineStr">
        <is>
          <t>Not Run</t>
        </is>
      </c>
      <c r="L307" s="42" t="n"/>
      <c r="M307" s="43" t="n"/>
      <c r="N307" s="42" t="n"/>
      <c r="O307" s="42" t="n"/>
    </row>
    <row r="308" ht="15" customHeight="1" s="24">
      <c r="A308" s="41" t="inlineStr">
        <is>
          <t>LOG-16</t>
        </is>
      </c>
      <c r="B308" s="41" t="inlineStr">
        <is>
          <t>Login &amp; Layout</t>
        </is>
      </c>
      <c r="C308" s="41" t="inlineStr">
        <is>
          <t>Login page</t>
        </is>
      </c>
      <c r="D308" s="41" t="inlineStr">
        <is>
          <t>UI</t>
        </is>
      </c>
      <c r="E308" s="41" t="inlineStr">
        <is>
          <t>Medium</t>
        </is>
      </c>
      <c r="F308" s="41" t="inlineStr">
        <is>
          <t>None</t>
        </is>
      </c>
      <c r="G308" s="41" t="inlineStr">
        <is>
          <t>Logged out</t>
        </is>
      </c>
      <c r="H308" s="41" t="inlineStr">
        <is>
          <t>Open the login page</t>
        </is>
      </c>
      <c r="I308" s="41" t="inlineStr">
        <is>
          <t>Heading 'Sign in to Escoule'; brand name Escoule on the left; under the Sign in button: 'Forgot your password? Ask your administrator to reset it.'</t>
        </is>
      </c>
      <c r="J308" s="42" t="n"/>
      <c r="K308" s="42" t="inlineStr">
        <is>
          <t>Not Run</t>
        </is>
      </c>
      <c r="L308" s="42" t="n"/>
      <c r="M308" s="43" t="n"/>
      <c r="N308" s="42" t="n"/>
      <c r="O308" s="42" t="inlineStr">
        <is>
          <t>New Oct 15</t>
        </is>
      </c>
    </row>
    <row r="309" ht="15" customHeight="1" s="24">
      <c r="A309" s="41" t="inlineStr">
        <is>
          <t>LAY-09</t>
        </is>
      </c>
      <c r="B309" s="41" t="inlineStr">
        <is>
          <t>Login &amp; Layout</t>
        </is>
      </c>
      <c r="C309" s="41" t="inlineStr">
        <is>
          <t>Branding</t>
        </is>
      </c>
      <c r="D309" s="41" t="inlineStr">
        <is>
          <t>UI</t>
        </is>
      </c>
      <c r="E309" s="41" t="inlineStr">
        <is>
          <t>Medium</t>
        </is>
      </c>
      <c r="F309" s="41" t="inlineStr">
        <is>
          <t>Admin</t>
        </is>
      </c>
      <c r="G309" s="41" t="inlineStr">
        <is>
          <t>Logged in</t>
        </is>
      </c>
      <c r="H309" s="41" t="inlineStr">
        <is>
          <t>Look at the sidebar header, the footer and the browser tab title</t>
        </is>
      </c>
      <c r="I309" s="41" t="inlineStr">
        <is>
          <t>Shows 'Escoule' only: no 'Synergein School' and no 'Demo School'</t>
        </is>
      </c>
      <c r="J309" s="42" t="n"/>
      <c r="K309" s="42" t="inlineStr">
        <is>
          <t>Not Run</t>
        </is>
      </c>
      <c r="L309" s="42" t="n"/>
      <c r="M309" s="43" t="n"/>
      <c r="N309" s="42" t="n"/>
      <c r="O309" s="42" t="inlineStr">
        <is>
          <t>New Oct 15</t>
        </is>
      </c>
    </row>
    <row r="310" ht="15" customHeight="1" s="24">
      <c r="A310" s="41" t="inlineStr">
        <is>
          <t>CMP-11</t>
        </is>
      </c>
      <c r="B310" s="41" t="inlineStr">
        <is>
          <t>Reusable Components</t>
        </is>
      </c>
      <c r="C310" s="41" t="inlineStr">
        <is>
          <t>Searchable dropdown</t>
        </is>
      </c>
      <c r="D310" s="41" t="inlineStr">
        <is>
          <t>Functional</t>
        </is>
      </c>
      <c r="E310" s="41" t="inlineStr">
        <is>
          <t>Medium</t>
        </is>
      </c>
      <c r="F310" s="41" t="inlineStr">
        <is>
          <t>Admin</t>
        </is>
      </c>
      <c r="G310" s="41" t="inlineStr">
        <is>
          <t>A dropdown with 6 or more options (Nationality, Class on Attendance, a list filter)</t>
        </is>
      </c>
      <c r="H310" s="41" t="inlineStr">
        <is>
          <t>Open it, type part of an option, use Arrow keys and Enter; press Esc</t>
        </is>
      </c>
      <c r="I310" s="41" t="inlineStr">
        <is>
          <t>A search box sits at the top; the list narrows as you type; Enter picks the highlighted option; Esc closes without changing; 'No matches' when nothing fits; dropdowns with fewer than 6 options stay a plain list</t>
        </is>
      </c>
      <c r="J310" s="42" t="n"/>
      <c r="K310" s="42" t="inlineStr">
        <is>
          <t>Not Run</t>
        </is>
      </c>
      <c r="L310" s="42" t="n"/>
      <c r="M310" s="43" t="n"/>
      <c r="N310" s="42" t="n"/>
      <c r="O310" s="42" t="inlineStr">
        <is>
          <t>New Oct 15</t>
        </is>
      </c>
    </row>
    <row r="311" ht="15" customHeight="1" s="24">
      <c r="A311" s="41" t="inlineStr">
        <is>
          <t>CMP-12</t>
        </is>
      </c>
      <c r="B311" s="41" t="inlineStr">
        <is>
          <t>Reusable Components</t>
        </is>
      </c>
      <c r="C311" s="41" t="inlineStr">
        <is>
          <t>Fixed tabs</t>
        </is>
      </c>
      <c r="D311" s="41" t="inlineStr">
        <is>
          <t>UI</t>
        </is>
      </c>
      <c r="E311" s="41" t="inlineStr">
        <is>
          <t>Medium</t>
        </is>
      </c>
      <c r="F311" s="41" t="inlineStr">
        <is>
          <t>Admin</t>
        </is>
      </c>
      <c r="G311" s="41" t="inlineStr">
        <is>
          <t>None</t>
        </is>
      </c>
      <c r="H311" s="41" t="inlineStr">
        <is>
          <t>Open an Add/Edit full-page form (e.g. Edit Student); click each section tab; clear a required field and Save</t>
        </is>
      </c>
      <c r="I311" s="41" t="inlineStr">
        <is>
          <t>Only the clicked section shows and its tab is highlighted; no sideways scrolling; after a failed save the first tab with an error opens and shows a red count</t>
        </is>
      </c>
      <c r="J311" s="42" t="n"/>
      <c r="K311" s="42" t="inlineStr">
        <is>
          <t>Not Run</t>
        </is>
      </c>
      <c r="L311" s="42" t="n"/>
      <c r="M311" s="43" t="n"/>
      <c r="N311" s="42" t="n"/>
      <c r="O311" s="42" t="inlineStr">
        <is>
          <t>New Oct 15</t>
        </is>
      </c>
    </row>
    <row r="312" ht="15" customHeight="1" s="24">
      <c r="A312" s="41" t="inlineStr">
        <is>
          <t>ADM-42</t>
        </is>
      </c>
      <c r="B312" s="41" t="inlineStr">
        <is>
          <t>Admissions</t>
        </is>
      </c>
      <c r="C312" s="41" t="inlineStr">
        <is>
          <t>List</t>
        </is>
      </c>
      <c r="D312" s="41" t="inlineStr">
        <is>
          <t>UI</t>
        </is>
      </c>
      <c r="E312" s="41" t="inlineStr">
        <is>
          <t>Low</t>
        </is>
      </c>
      <c r="F312" s="41" t="inlineStr">
        <is>
          <t>Admin</t>
        </is>
      </c>
      <c r="G312" s="41" t="inlineStr">
        <is>
          <t>None</t>
        </is>
      </c>
      <c r="H312" s="41" t="inlineStr">
        <is>
          <t>Open Admissions and an application's page</t>
        </is>
      </c>
      <c r="I312" s="41" t="inlineStr">
        <is>
          <t>Column and header read 'Reg No' (not 'REG #')</t>
        </is>
      </c>
      <c r="J312" s="42" t="n"/>
      <c r="K312" s="42" t="inlineStr">
        <is>
          <t>Not Run</t>
        </is>
      </c>
      <c r="L312" s="42" t="n"/>
      <c r="M312" s="43" t="n"/>
      <c r="N312" s="42" t="n"/>
      <c r="O312" s="42" t="inlineStr">
        <is>
          <t>New Oct 15</t>
        </is>
      </c>
    </row>
    <row r="313" ht="15" customHeight="1" s="24">
      <c r="A313" s="41" t="inlineStr">
        <is>
          <t>ADM-43</t>
        </is>
      </c>
      <c r="B313" s="41" t="inlineStr">
        <is>
          <t>Admissions</t>
        </is>
      </c>
      <c r="C313" s="41" t="inlineStr">
        <is>
          <t>Register - class choice</t>
        </is>
      </c>
      <c r="D313" s="41" t="inlineStr">
        <is>
          <t>Functional</t>
        </is>
      </c>
      <c r="E313" s="41" t="inlineStr">
        <is>
          <t>High</t>
        </is>
      </c>
      <c r="F313" s="41" t="inlineStr">
        <is>
          <t>Admin</t>
        </is>
      </c>
      <c r="G313" s="41" t="inlineStr">
        <is>
          <t>Classes 'Class 1 A' and 'Class 1 B' exist</t>
        </is>
      </c>
      <c r="H313" s="41" t="inlineStr">
        <is>
          <t>New Registration &gt; open the Class list</t>
        </is>
      </c>
      <c r="I313" s="41" t="inlineStr">
        <is>
          <t>One entry per class with its academic year (e.g. 'Class 1 (2026-2027)'), no section; hint says the section is chosen at enrolment; list and details show the class without a section after saving</t>
        </is>
      </c>
      <c r="J313" s="42" t="n"/>
      <c r="K313" s="42" t="inlineStr">
        <is>
          <t>Not Run</t>
        </is>
      </c>
      <c r="L313" s="42" t="n"/>
      <c r="M313" s="43" t="n"/>
      <c r="N313" s="42" t="n"/>
      <c r="O313" s="42" t="inlineStr">
        <is>
          <t>New Oct 15</t>
        </is>
      </c>
    </row>
    <row r="314" ht="15" customHeight="1" s="24">
      <c r="A314" s="41" t="inlineStr">
        <is>
          <t>ADM-44</t>
        </is>
      </c>
      <c r="B314" s="41" t="inlineStr">
        <is>
          <t>Admissions</t>
        </is>
      </c>
      <c r="C314" s="41" t="inlineStr">
        <is>
          <t>Enrol - section</t>
        </is>
      </c>
      <c r="D314" s="41" t="inlineStr">
        <is>
          <t>Functional</t>
        </is>
      </c>
      <c r="E314" s="41" t="inlineStr">
        <is>
          <t>High</t>
        </is>
      </c>
      <c r="F314" s="41" t="inlineStr">
        <is>
          <t>Admin</t>
        </is>
      </c>
      <c r="G314" s="41" t="inlineStr">
        <is>
          <t>Application registered for 'Class 1'</t>
        </is>
      </c>
      <c r="H314" s="41" t="inlineStr">
        <is>
          <t>Click Enrol; the Class list shows every section; pick Class 1 B; enrol</t>
        </is>
      </c>
      <c r="I314" s="41" t="inlineStr">
        <is>
          <t>Sections are listed (Class 1 A, 1 B); the student is placed in the section you chose</t>
        </is>
      </c>
      <c r="J314" s="42" t="n"/>
      <c r="K314" s="42" t="inlineStr">
        <is>
          <t>Not Run</t>
        </is>
      </c>
      <c r="L314" s="42" t="n"/>
      <c r="M314" s="43" t="n"/>
      <c r="N314" s="42" t="n"/>
      <c r="O314" s="42" t="inlineStr">
        <is>
          <t>New Oct 15</t>
        </is>
      </c>
    </row>
    <row r="315" ht="15" customHeight="1" s="24">
      <c r="A315" s="41" t="inlineStr">
        <is>
          <t>ADM-45</t>
        </is>
      </c>
      <c r="B315" s="41" t="inlineStr">
        <is>
          <t>Admissions</t>
        </is>
      </c>
      <c r="C315" s="41" t="inlineStr">
        <is>
          <t>Register - guardian mobile</t>
        </is>
      </c>
      <c r="D315" s="41" t="inlineStr">
        <is>
          <t>Validation</t>
        </is>
      </c>
      <c r="E315" s="41" t="inlineStr">
        <is>
          <t>Medium</t>
        </is>
      </c>
      <c r="F315" s="41" t="inlineStr">
        <is>
          <t>Admin</t>
        </is>
      </c>
      <c r="G315" s="41" t="inlineStr">
        <is>
          <t>None</t>
        </is>
      </c>
      <c r="H315" s="41" t="inlineStr">
        <is>
          <t>Add a guardian with a name but no mobile; Save</t>
        </is>
      </c>
      <c r="I315" s="41" t="inlineStr">
        <is>
          <t>Mobile has a red star; error 'Mobile is required.'; saves once the mobile is filled (not needed when an existing parent is picked)</t>
        </is>
      </c>
      <c r="J315" s="42" t="n"/>
      <c r="K315" s="42" t="inlineStr">
        <is>
          <t>Not Run</t>
        </is>
      </c>
      <c r="L315" s="42" t="n"/>
      <c r="M315" s="43" t="n"/>
      <c r="N315" s="42" t="n"/>
      <c r="O315" s="42" t="inlineStr">
        <is>
          <t>New Oct 15</t>
        </is>
      </c>
    </row>
    <row r="316" ht="15" customHeight="1" s="24">
      <c r="A316" s="41" t="inlineStr">
        <is>
          <t>ADM-46</t>
        </is>
      </c>
      <c r="B316" s="41" t="inlineStr">
        <is>
          <t>Admissions</t>
        </is>
      </c>
      <c r="C316" s="41" t="inlineStr">
        <is>
          <t>Register - hints</t>
        </is>
      </c>
      <c r="D316" s="41" t="inlineStr">
        <is>
          <t>UI</t>
        </is>
      </c>
      <c r="E316" s="41" t="inlineStr">
        <is>
          <t>Low</t>
        </is>
      </c>
      <c r="F316" s="41" t="inlineStr">
        <is>
          <t>Admin</t>
        </is>
      </c>
      <c r="G316" s="41" t="inlineStr">
        <is>
          <t>None</t>
        </is>
      </c>
      <c r="H316" s="41" t="inlineStr">
        <is>
          <t>Read the Remarks and Documents sections of New Registration</t>
        </is>
      </c>
      <c r="I316" s="41" t="inlineStr">
        <is>
          <t>Remarks says it is an internal note for the office; Documents says no document is needed to register and that the Type of each file is picked from the list</t>
        </is>
      </c>
      <c r="J316" s="42" t="n"/>
      <c r="K316" s="42" t="inlineStr">
        <is>
          <t>Not Run</t>
        </is>
      </c>
      <c r="L316" s="42" t="n"/>
      <c r="M316" s="43" t="n"/>
      <c r="N316" s="42" t="n"/>
      <c r="O316" s="42" t="inlineStr">
        <is>
          <t>New Oct 15</t>
        </is>
      </c>
    </row>
    <row r="317" ht="15" customHeight="1" s="24">
      <c r="A317" s="41" t="inlineStr">
        <is>
          <t>STU-47</t>
        </is>
      </c>
      <c r="B317" s="41" t="inlineStr">
        <is>
          <t>Students</t>
        </is>
      </c>
      <c r="C317" s="41" t="inlineStr">
        <is>
          <t>Citizenship</t>
        </is>
      </c>
      <c r="D317" s="41" t="inlineStr">
        <is>
          <t>Functional</t>
        </is>
      </c>
      <c r="E317" s="41" t="inlineStr">
        <is>
          <t>Medium</t>
        </is>
      </c>
      <c r="F317" s="41" t="inlineStr">
        <is>
          <t>Admin</t>
        </is>
      </c>
      <c r="G317" s="41" t="inlineStr">
        <is>
          <t>Existing student with an old free-text nationality</t>
        </is>
      </c>
      <c r="H317" s="41" t="inlineStr">
        <is>
          <t>Edit &gt; Citizenship</t>
        </is>
      </c>
      <c r="I317" s="41" t="inlineStr">
        <is>
          <t>Nationality is a searchable dropdown (Indian and Emirati first); the old value is still shown and kept; there is no 'Second nationality' field</t>
        </is>
      </c>
      <c r="J317" s="42" t="n"/>
      <c r="K317" s="42" t="inlineStr">
        <is>
          <t>Not Run</t>
        </is>
      </c>
      <c r="L317" s="42" t="n"/>
      <c r="M317" s="43" t="n"/>
      <c r="N317" s="42" t="n"/>
      <c r="O317" s="42" t="inlineStr">
        <is>
          <t>New Oct 15</t>
        </is>
      </c>
    </row>
    <row r="318" ht="15" customHeight="1" s="24">
      <c r="A318" s="41" t="inlineStr">
        <is>
          <t>STU-48</t>
        </is>
      </c>
      <c r="B318" s="41" t="inlineStr">
        <is>
          <t>Students</t>
        </is>
      </c>
      <c r="C318" s="41" t="inlineStr">
        <is>
          <t>Removed fields</t>
        </is>
      </c>
      <c r="D318" s="41" t="inlineStr">
        <is>
          <t>UI</t>
        </is>
      </c>
      <c r="E318" s="41" t="inlineStr">
        <is>
          <t>Low</t>
        </is>
      </c>
      <c r="F318" s="41" t="inlineStr">
        <is>
          <t>Admin</t>
        </is>
      </c>
      <c r="G318" s="41" t="inlineStr">
        <is>
          <t>None</t>
        </is>
      </c>
      <c r="H318" s="41" t="inlineStr">
        <is>
          <t>Open a student's Edit and View pages and the list filters/export</t>
        </is>
      </c>
      <c r="I318" s="41" t="inlineStr">
        <is>
          <t>No EAL code, no Second nationality, no Insurance provider/expiry, no English-level filter or EAL column in the CSV</t>
        </is>
      </c>
      <c r="J318" s="42" t="n"/>
      <c r="K318" s="42" t="inlineStr">
        <is>
          <t>Not Run</t>
        </is>
      </c>
      <c r="L318" s="42" t="n"/>
      <c r="M318" s="43" t="n"/>
      <c r="N318" s="42" t="n"/>
      <c r="O318" s="42" t="inlineStr">
        <is>
          <t>New Oct 15</t>
        </is>
      </c>
    </row>
    <row r="319" ht="15" customHeight="1" s="24">
      <c r="A319" s="41" t="inlineStr">
        <is>
          <t>STU-49</t>
        </is>
      </c>
      <c r="B319" s="41" t="inlineStr">
        <is>
          <t>Students</t>
        </is>
      </c>
      <c r="C319" s="41" t="inlineStr">
        <is>
          <t>Left</t>
        </is>
      </c>
      <c r="D319" s="41" t="inlineStr">
        <is>
          <t>Functional</t>
        </is>
      </c>
      <c r="E319" s="41" t="inlineStr">
        <is>
          <t>High</t>
        </is>
      </c>
      <c r="F319" s="41" t="inlineStr">
        <is>
          <t>Admin</t>
        </is>
      </c>
      <c r="G319" s="41" t="inlineStr">
        <is>
          <t>Active student with a class period and attendance</t>
        </is>
      </c>
      <c r="H319" s="41" t="inlineStr">
        <is>
          <t>Click 'Mark as left' (list row icon or the student's page) and confirm</t>
        </is>
      </c>
      <c r="I319" s="41" t="inlineStr">
        <is>
          <t>Status becomes Left; the class history period closes as Left; the seat is freed; the student leaves the attendance roster; record and history remain; the button disappears</t>
        </is>
      </c>
      <c r="J319" s="42" t="n"/>
      <c r="K319" s="42" t="inlineStr">
        <is>
          <t>Not Run</t>
        </is>
      </c>
      <c r="L319" s="42" t="n"/>
      <c r="M319" s="43" t="n"/>
      <c r="N319" s="42" t="n"/>
      <c r="O319" s="42" t="inlineStr">
        <is>
          <t>New Oct 15</t>
        </is>
      </c>
    </row>
    <row r="320" ht="15" customHeight="1" s="24">
      <c r="A320" s="41" t="inlineStr">
        <is>
          <t>STU-50</t>
        </is>
      </c>
      <c r="B320" s="41" t="inlineStr">
        <is>
          <t>Students</t>
        </is>
      </c>
      <c r="C320" s="41" t="inlineStr">
        <is>
          <t>Left - permission</t>
        </is>
      </c>
      <c r="D320" s="41" t="inlineStr">
        <is>
          <t>Security</t>
        </is>
      </c>
      <c r="E320" s="41" t="inlineStr">
        <is>
          <t>Medium</t>
        </is>
      </c>
      <c r="F320" s="41" t="inlineStr">
        <is>
          <t>Clerk</t>
        </is>
      </c>
      <c r="G320" s="41" t="inlineStr">
        <is>
          <t>None</t>
        </is>
      </c>
      <c r="H320" s="41" t="inlineStr">
        <is>
          <t>Open Students and a student page</t>
        </is>
      </c>
      <c r="I320" s="41" t="inlineStr">
        <is>
          <t>No 'Mark as left' action (needs Students.Edit); no Delete anywhere</t>
        </is>
      </c>
      <c r="J320" s="42" t="n"/>
      <c r="K320" s="42" t="inlineStr">
        <is>
          <t>Not Run</t>
        </is>
      </c>
      <c r="L320" s="42" t="n"/>
      <c r="M320" s="43" t="n"/>
      <c r="N320" s="42" t="n"/>
      <c r="O320" s="42" t="inlineStr">
        <is>
          <t>New Oct 15</t>
        </is>
      </c>
    </row>
    <row r="321" ht="15" customHeight="1" s="24">
      <c r="A321" s="41" t="inlineStr">
        <is>
          <t>STU-51</t>
        </is>
      </c>
      <c r="B321" s="41" t="inlineStr">
        <is>
          <t>Students</t>
        </is>
      </c>
      <c r="C321" s="41" t="inlineStr">
        <is>
          <t>Left - twice</t>
        </is>
      </c>
      <c r="D321" s="41" t="inlineStr">
        <is>
          <t>Negative</t>
        </is>
      </c>
      <c r="E321" s="41" t="inlineStr">
        <is>
          <t>Low</t>
        </is>
      </c>
      <c r="F321" s="41" t="inlineStr">
        <is>
          <t>Admin</t>
        </is>
      </c>
      <c r="G321" s="41" t="inlineStr">
        <is>
          <t>Student already Left</t>
        </is>
      </c>
      <c r="H321" s="41" t="inlineStr">
        <is>
          <t>Swagger: POST /api/students/{id}/leave again</t>
        </is>
      </c>
      <c r="I321" s="41" t="inlineStr">
        <is>
          <t>422 'This student has already left.'; nothing changes</t>
        </is>
      </c>
      <c r="J321" s="42" t="n"/>
      <c r="K321" s="42" t="inlineStr">
        <is>
          <t>Not Run</t>
        </is>
      </c>
      <c r="L321" s="42" t="n"/>
      <c r="M321" s="43" t="n"/>
      <c r="N321" s="42" t="n"/>
      <c r="O321" s="42" t="inlineStr">
        <is>
          <t>New Oct 15</t>
        </is>
      </c>
    </row>
    <row r="322" ht="15" customHeight="1" s="24">
      <c r="A322" s="41" t="inlineStr">
        <is>
          <t>PAR-17</t>
        </is>
      </c>
      <c r="B322" s="41" t="inlineStr">
        <is>
          <t>Parents</t>
        </is>
      </c>
      <c r="C322" s="41" t="inlineStr">
        <is>
          <t>Delete - linked children</t>
        </is>
      </c>
      <c r="D322" s="41" t="inlineStr">
        <is>
          <t>Negative</t>
        </is>
      </c>
      <c r="E322" s="41" t="inlineStr">
        <is>
          <t>High</t>
        </is>
      </c>
      <c r="F322" s="41" t="inlineStr">
        <is>
          <t>Admin</t>
        </is>
      </c>
      <c r="G322" s="41" t="inlineStr">
        <is>
          <t>Parent linked to a student</t>
        </is>
      </c>
      <c r="H322" s="41" t="inlineStr">
        <is>
          <t>Delete the parent</t>
        </is>
      </c>
      <c r="I322" s="41" t="inlineStr">
        <is>
          <t>Refused: 'This parent is linked to N student(s). Unlink them first, then delete the parent.'; the parent still exists</t>
        </is>
      </c>
      <c r="J322" s="42" t="n"/>
      <c r="K322" s="42" t="inlineStr">
        <is>
          <t>Not Run</t>
        </is>
      </c>
      <c r="L322" s="42" t="n"/>
      <c r="M322" s="43" t="n"/>
      <c r="N322" s="42" t="n"/>
      <c r="O322" s="42" t="inlineStr">
        <is>
          <t>New Oct 15</t>
        </is>
      </c>
    </row>
    <row r="323" ht="15" customHeight="1" s="24">
      <c r="A323" s="41" t="inlineStr">
        <is>
          <t>PAR-18</t>
        </is>
      </c>
      <c r="B323" s="41" t="inlineStr">
        <is>
          <t>Parents</t>
        </is>
      </c>
      <c r="C323" s="41" t="inlineStr">
        <is>
          <t>Delete - after unlink</t>
        </is>
      </c>
      <c r="D323" s="41" t="inlineStr">
        <is>
          <t>Functional</t>
        </is>
      </c>
      <c r="E323" s="41" t="inlineStr">
        <is>
          <t>High</t>
        </is>
      </c>
      <c r="F323" s="41" t="inlineStr">
        <is>
          <t>Admin</t>
        </is>
      </c>
      <c r="G323" s="41" t="inlineStr">
        <is>
          <t>Same parent as PAR-17</t>
        </is>
      </c>
      <c r="H323" s="41" t="inlineStr">
        <is>
          <t>Unlink every child (Linked children), then delete the parent</t>
        </is>
      </c>
      <c r="I323" s="41" t="inlineStr">
        <is>
          <t>Delete now works</t>
        </is>
      </c>
      <c r="J323" s="42" t="n"/>
      <c r="K323" s="42" t="inlineStr">
        <is>
          <t>Not Run</t>
        </is>
      </c>
      <c r="L323" s="42" t="n"/>
      <c r="M323" s="43" t="n"/>
      <c r="N323" s="42" t="n"/>
      <c r="O323" s="42" t="inlineStr">
        <is>
          <t>New Oct 15</t>
        </is>
      </c>
    </row>
    <row r="324" ht="15" customHeight="1" s="24">
      <c r="A324" s="41" t="inlineStr">
        <is>
          <t>PAR-19</t>
        </is>
      </c>
      <c r="B324" s="41" t="inlineStr">
        <is>
          <t>Parents</t>
        </is>
      </c>
      <c r="C324" s="41" t="inlineStr">
        <is>
          <t>Dropdowns and sections</t>
        </is>
      </c>
      <c r="D324" s="41" t="inlineStr">
        <is>
          <t>UI</t>
        </is>
      </c>
      <c r="E324" s="41" t="inlineStr">
        <is>
          <t>Medium</t>
        </is>
      </c>
      <c r="F324" s="41" t="inlineStr">
        <is>
          <t>Admin</t>
        </is>
      </c>
      <c r="G324" s="41" t="inlineStr">
        <is>
          <t>None</t>
        </is>
      </c>
      <c r="H324" s="41" t="inlineStr">
        <is>
          <t>Add a parent; look at Country of residence, Preferred language and the sections</t>
        </is>
      </c>
      <c r="I324" s="41" t="inlineStr">
        <is>
          <t>Country of residence offers India and United Arab Emirates; Preferred language includes Tamil; there is no 'Work &amp; billing' section in the form, the details page or the header badges</t>
        </is>
      </c>
      <c r="J324" s="42" t="n"/>
      <c r="K324" s="42" t="inlineStr">
        <is>
          <t>Not Run</t>
        </is>
      </c>
      <c r="L324" s="42" t="n"/>
      <c r="M324" s="43" t="n"/>
      <c r="N324" s="42" t="n"/>
      <c r="O324" s="42" t="inlineStr">
        <is>
          <t>New Oct 15</t>
        </is>
      </c>
    </row>
    <row r="325" ht="15" customHeight="1" s="24">
      <c r="A325" s="41" t="inlineStr">
        <is>
          <t>ATT-26</t>
        </is>
      </c>
      <c r="B325" s="41" t="inlineStr">
        <is>
          <t>Attendance</t>
        </is>
      </c>
      <c r="C325" s="41" t="inlineStr">
        <is>
          <t>Rules - 24 hours</t>
        </is>
      </c>
      <c r="D325" s="41" t="inlineStr">
        <is>
          <t>Functional</t>
        </is>
      </c>
      <c r="E325" s="41" t="inlineStr">
        <is>
          <t>High</t>
        </is>
      </c>
      <c r="F325" s="41" t="inlineStr">
        <is>
          <t>Teacher</t>
        </is>
      </c>
      <c r="G325" s="41" t="inlineStr">
        <is>
          <t>Class teacher; attendance saved for yesterday</t>
        </is>
      </c>
      <c r="H325" s="41" t="inlineStr">
        <is>
          <t>Open yesterday and edit it; then open the day before yesterday</t>
        </is>
      </c>
      <c r="I325" s="41" t="inlineStr">
        <is>
          <t>Yesterday is editable only while 24 hours have not passed since the register was FIRST saved (see ATT-27, ATT-28); the day before yesterday is locked ('Only an Admin can change attendance older than 1 day'); Admin can still edit both</t>
        </is>
      </c>
      <c r="J325" s="42" t="n"/>
      <c r="K325" s="42" t="inlineStr">
        <is>
          <t>Not Run</t>
        </is>
      </c>
      <c r="L325" s="42" t="n"/>
      <c r="M325" s="43" t="n"/>
      <c r="N325" s="42" t="n"/>
      <c r="O325" s="42" t="inlineStr">
        <is>
          <t>New Oct 15</t>
        </is>
      </c>
    </row>
    <row r="326" ht="15" customHeight="1" s="24">
      <c r="A326" s="41" t="inlineStr">
        <is>
          <t>ADM-47</t>
        </is>
      </c>
      <c r="B326" s="41" t="inlineStr">
        <is>
          <t>Admissions</t>
        </is>
      </c>
      <c r="C326" s="41" t="inlineStr">
        <is>
          <t>Confirm - required payment</t>
        </is>
      </c>
      <c r="D326" s="41" t="inlineStr">
        <is>
          <t>Validation</t>
        </is>
      </c>
      <c r="E326" s="41" t="inlineStr">
        <is>
          <t>High</t>
        </is>
      </c>
      <c r="F326" s="41" t="inlineStr">
        <is>
          <t>Admin</t>
        </is>
      </c>
      <c r="G326" s="41" t="inlineStr">
        <is>
          <t>Registered application</t>
        </is>
      </c>
      <c r="H326" s="41" t="inlineStr">
        <is>
          <t>Open Confirm Admission; clear any pre-filled Fee amount (it is filled from Masters when a fee is set for the class); leave Fee amount and Payment reference empty; click Confirm</t>
        </is>
      </c>
      <c r="I326" s="41" t="inlineStr">
        <is>
          <t>Both fields show a red star and the errors 'Fee amount is required.' / 'Payment reference is required.'; nothing is saved; with both filled it moves to Admitted</t>
        </is>
      </c>
      <c r="J326" s="42" t="n"/>
      <c r="K326" s="42" t="inlineStr">
        <is>
          <t>Not Run</t>
        </is>
      </c>
      <c r="L326" s="42" t="n"/>
      <c r="M326" s="43" t="n"/>
      <c r="N326" s="42" t="n"/>
      <c r="O326" s="42" t="inlineStr">
        <is>
          <t>New Oct 16</t>
        </is>
      </c>
    </row>
    <row r="327" ht="15" customHeight="1" s="24">
      <c r="A327" s="41" t="inlineStr">
        <is>
          <t>ADM-48</t>
        </is>
      </c>
      <c r="B327" s="41" t="inlineStr">
        <is>
          <t>Admissions</t>
        </is>
      </c>
      <c r="C327" s="41" t="inlineStr">
        <is>
          <t>Enrol - generated numbers</t>
        </is>
      </c>
      <c r="D327" s="41" t="inlineStr">
        <is>
          <t>Functional</t>
        </is>
      </c>
      <c r="E327" s="41" t="inlineStr">
        <is>
          <t>High</t>
        </is>
      </c>
      <c r="F327" s="41" t="inlineStr">
        <is>
          <t>Admin</t>
        </is>
      </c>
      <c r="G327" s="41" t="inlineStr">
        <is>
          <t>Two Admitted applications for the same section</t>
        </is>
      </c>
      <c r="H327" s="41" t="inlineStr">
        <is>
          <t>Enrol the first with blank numbers, then the second</t>
        </is>
      </c>
      <c r="I327" s="41" t="inlineStr">
        <is>
          <t>First gets ADM-&lt;year&gt;-0001-style and &lt;class&gt;&lt;section&gt;001; second gets 0002 and 002; no gaps or duplicates; section A and B count separately</t>
        </is>
      </c>
      <c r="J327" s="42" t="n"/>
      <c r="K327" s="42" t="inlineStr">
        <is>
          <t>Not Run</t>
        </is>
      </c>
      <c r="L327" s="42" t="n"/>
      <c r="M327" s="43" t="n"/>
      <c r="N327" s="42" t="n"/>
      <c r="O327" s="42" t="inlineStr">
        <is>
          <t>New Oct 16</t>
        </is>
      </c>
    </row>
    <row r="328" ht="15" customHeight="1" s="24">
      <c r="A328" s="41" t="inlineStr">
        <is>
          <t>ADM-49</t>
        </is>
      </c>
      <c r="B328" s="41" t="inlineStr">
        <is>
          <t>Admissions</t>
        </is>
      </c>
      <c r="C328" s="41" t="inlineStr">
        <is>
          <t>Enrol - typed number kept</t>
        </is>
      </c>
      <c r="D328" s="41" t="inlineStr">
        <is>
          <t>Functional</t>
        </is>
      </c>
      <c r="E328" s="41" t="inlineStr">
        <is>
          <t>Medium</t>
        </is>
      </c>
      <c r="F328" s="41" t="inlineStr">
        <is>
          <t>Admin</t>
        </is>
      </c>
      <c r="G328" s="41" t="inlineStr">
        <is>
          <t>Admitted application</t>
        </is>
      </c>
      <c r="H328" s="41" t="inlineStr">
        <is>
          <t>Type your own roll and admission numbers and enrol</t>
        </is>
      </c>
      <c r="I328" s="41" t="inlineStr">
        <is>
          <t>Your numbers are used as typed; the next blank enrolment continues after the highest serial</t>
        </is>
      </c>
      <c r="J328" s="42" t="n"/>
      <c r="K328" s="42" t="inlineStr">
        <is>
          <t>Not Run</t>
        </is>
      </c>
      <c r="L328" s="42" t="n"/>
      <c r="M328" s="43" t="n"/>
      <c r="N328" s="42" t="n"/>
      <c r="O328" s="42" t="inlineStr">
        <is>
          <t>New Oct 16</t>
        </is>
      </c>
    </row>
    <row r="329" ht="15" customHeight="1" s="24">
      <c r="A329" s="41" t="inlineStr">
        <is>
          <t>ADM-50</t>
        </is>
      </c>
      <c r="B329" s="41" t="inlineStr">
        <is>
          <t>Admissions</t>
        </is>
      </c>
      <c r="C329" s="41" t="inlineStr">
        <is>
          <t>Register - document type first</t>
        </is>
      </c>
      <c r="D329" s="41" t="inlineStr">
        <is>
          <t>UI</t>
        </is>
      </c>
      <c r="E329" s="41" t="inlineStr">
        <is>
          <t>Medium</t>
        </is>
      </c>
      <c r="F329" s="41" t="inlineStr">
        <is>
          <t>Admin</t>
        </is>
      </c>
      <c r="G329" s="41" t="inlineStr">
        <is>
          <t>None</t>
        </is>
      </c>
      <c r="H329" s="41" t="inlineStr">
        <is>
          <t>New Registration &gt; Documents: look before choosing a type</t>
        </is>
      </c>
      <c r="I329" s="41" t="inlineStr">
        <is>
          <t>A 'What are you uploading?' dropdown (searchable) is above the file picker, which says 'Choose a document type first' and is disabled until a type is chosen</t>
        </is>
      </c>
      <c r="J329" s="42" t="n"/>
      <c r="K329" s="42" t="inlineStr">
        <is>
          <t>Not Run</t>
        </is>
      </c>
      <c r="L329" s="42" t="n"/>
      <c r="M329" s="43" t="n"/>
      <c r="N329" s="42" t="n"/>
      <c r="O329" s="42" t="inlineStr">
        <is>
          <t>New Oct 16</t>
        </is>
      </c>
    </row>
    <row r="330" ht="15" customHeight="1" s="24">
      <c r="A330" s="41" t="inlineStr">
        <is>
          <t>STU-52</t>
        </is>
      </c>
      <c r="B330" s="41" t="inlineStr">
        <is>
          <t>Students</t>
        </is>
      </c>
      <c r="C330" s="41" t="inlineStr">
        <is>
          <t>Labels</t>
        </is>
      </c>
      <c r="D330" s="41" t="inlineStr">
        <is>
          <t>UI</t>
        </is>
      </c>
      <c r="E330" s="41" t="inlineStr">
        <is>
          <t>Low</t>
        </is>
      </c>
      <c r="F330" s="41" t="inlineStr">
        <is>
          <t>Admin</t>
        </is>
      </c>
      <c r="G330" s="41" t="inlineStr">
        <is>
          <t>None</t>
        </is>
      </c>
      <c r="H330" s="41" t="inlineStr">
        <is>
          <t>Check the Students list header, student pages, class page and parent page</t>
        </is>
      </c>
      <c r="I330" s="41" t="inlineStr">
        <is>
          <t>The label is 'Adm No' everywhere (no 'Adm #')</t>
        </is>
      </c>
      <c r="J330" s="42" t="n"/>
      <c r="K330" s="42" t="inlineStr">
        <is>
          <t>Not Run</t>
        </is>
      </c>
      <c r="L330" s="42" t="n"/>
      <c r="M330" s="43" t="n"/>
      <c r="N330" s="42" t="n"/>
      <c r="O330" s="42" t="inlineStr">
        <is>
          <t>New Oct 16</t>
        </is>
      </c>
    </row>
    <row r="331" ht="15" customHeight="1" s="24">
      <c r="A331" s="41" t="inlineStr">
        <is>
          <t>STU-53</t>
        </is>
      </c>
      <c r="B331" s="41" t="inlineStr">
        <is>
          <t>Students</t>
        </is>
      </c>
      <c r="C331" s="41" t="inlineStr">
        <is>
          <t>Photo upload</t>
        </is>
      </c>
      <c r="D331" s="41" t="inlineStr">
        <is>
          <t>Functional</t>
        </is>
      </c>
      <c r="E331" s="41" t="inlineStr">
        <is>
          <t>High</t>
        </is>
      </c>
      <c r="F331" s="41" t="inlineStr">
        <is>
          <t>Admin</t>
        </is>
      </c>
      <c r="G331" s="41" t="inlineStr">
        <is>
          <t>A student exists</t>
        </is>
      </c>
      <c r="H331" s="41" t="inlineStr">
        <is>
          <t>Edit student &gt; Basic: Upload photo, choose a JPG under 2 MB</t>
        </is>
      </c>
      <c r="I331" s="41" t="inlineStr">
        <is>
          <t>The photo shows at once in the form and in the header of the student page; no Save needed</t>
        </is>
      </c>
      <c r="J331" s="42" t="n"/>
      <c r="K331" s="42" t="inlineStr">
        <is>
          <t>Not Run</t>
        </is>
      </c>
      <c r="L331" s="42" t="n"/>
      <c r="M331" s="43" t="n"/>
      <c r="N331" s="42" t="n"/>
      <c r="O331" s="42" t="inlineStr">
        <is>
          <t>New Oct 16</t>
        </is>
      </c>
    </row>
    <row r="332" ht="15" customHeight="1" s="24">
      <c r="A332" s="41" t="inlineStr">
        <is>
          <t>STU-54</t>
        </is>
      </c>
      <c r="B332" s="41" t="inlineStr">
        <is>
          <t>Students</t>
        </is>
      </c>
      <c r="C332" s="41" t="inlineStr">
        <is>
          <t>Photo - wrong file</t>
        </is>
      </c>
      <c r="D332" s="41" t="inlineStr">
        <is>
          <t>Validation</t>
        </is>
      </c>
      <c r="E332" s="41" t="inlineStr">
        <is>
          <t>Medium</t>
        </is>
      </c>
      <c r="F332" s="41" t="inlineStr">
        <is>
          <t>Admin</t>
        </is>
      </c>
      <c r="G332" s="41" t="inlineStr">
        <is>
          <t>A student exists</t>
        </is>
      </c>
      <c r="H332" s="41" t="inlineStr">
        <is>
          <t>Choose a PDF, a renamed .exe, and a JPG over 2 MB, one by one</t>
        </is>
      </c>
      <c r="I332" s="41" t="inlineStr">
        <is>
          <t>Each is refused with a clear message (JPG or PNG only; size shown); the old photo stays</t>
        </is>
      </c>
      <c r="J332" s="42" t="n"/>
      <c r="K332" s="42" t="inlineStr">
        <is>
          <t>Not Run</t>
        </is>
      </c>
      <c r="L332" s="42" t="n"/>
      <c r="M332" s="43" t="n"/>
      <c r="N332" s="42" t="n"/>
      <c r="O332" s="42" t="inlineStr">
        <is>
          <t>New Oct 16</t>
        </is>
      </c>
    </row>
    <row r="333" ht="15" customHeight="1" s="24">
      <c r="A333" s="41" t="inlineStr">
        <is>
          <t>STU-55</t>
        </is>
      </c>
      <c r="B333" s="41" t="inlineStr">
        <is>
          <t>Students</t>
        </is>
      </c>
      <c r="C333" s="41" t="inlineStr">
        <is>
          <t>Photo remove / replace</t>
        </is>
      </c>
      <c r="D333" s="41" t="inlineStr">
        <is>
          <t>Functional</t>
        </is>
      </c>
      <c r="E333" s="41" t="inlineStr">
        <is>
          <t>Medium</t>
        </is>
      </c>
      <c r="F333" s="41" t="inlineStr">
        <is>
          <t>Admin</t>
        </is>
      </c>
      <c r="G333" s="41" t="inlineStr">
        <is>
          <t>A student with a photo</t>
        </is>
      </c>
      <c r="H333" s="41" t="inlineStr">
        <is>
          <t>Change photo to another picture; then Remove</t>
        </is>
      </c>
      <c r="I333" s="41" t="inlineStr">
        <is>
          <t>The new picture replaces the old; after Remove the initials show again</t>
        </is>
      </c>
      <c r="J333" s="42" t="n"/>
      <c r="K333" s="42" t="inlineStr">
        <is>
          <t>Not Run</t>
        </is>
      </c>
      <c r="L333" s="42" t="n"/>
      <c r="M333" s="43" t="n"/>
      <c r="N333" s="42" t="n"/>
      <c r="O333" s="42" t="inlineStr">
        <is>
          <t>New Oct 16</t>
        </is>
      </c>
    </row>
    <row r="334" ht="15" customHeight="1" s="24">
      <c r="A334" s="41" t="inlineStr">
        <is>
          <t>USR-23</t>
        </is>
      </c>
      <c r="B334" s="41" t="inlineStr">
        <is>
          <t>Users &amp; Staff</t>
        </is>
      </c>
      <c r="C334" s="41" t="inlineStr">
        <is>
          <t>Employee number generated</t>
        </is>
      </c>
      <c r="D334" s="41" t="inlineStr">
        <is>
          <t>Functional</t>
        </is>
      </c>
      <c r="E334" s="41" t="inlineStr">
        <is>
          <t>Medium</t>
        </is>
      </c>
      <c r="F334" s="41" t="inlineStr">
        <is>
          <t>Admin</t>
        </is>
      </c>
      <c r="G334" s="41" t="inlineStr">
        <is>
          <t>None</t>
        </is>
      </c>
      <c r="H334" s="41" t="inlineStr">
        <is>
          <t>Create a teacher and then a clerk, leaving Employee no. blank</t>
        </is>
      </c>
      <c r="I334" s="41" t="inlineStr">
        <is>
          <t>They get EMP-0001 and EMP-0002; a typed number is kept; a duplicate is refused</t>
        </is>
      </c>
      <c r="J334" s="42" t="n"/>
      <c r="K334" s="42" t="inlineStr">
        <is>
          <t>Not Run</t>
        </is>
      </c>
      <c r="L334" s="42" t="n"/>
      <c r="M334" s="43" t="n"/>
      <c r="N334" s="42" t="n"/>
      <c r="O334" s="42" t="inlineStr">
        <is>
          <t>New Oct 16</t>
        </is>
      </c>
    </row>
    <row r="335" ht="15" customHeight="1" s="24">
      <c r="A335" s="41" t="inlineStr">
        <is>
          <t>LAY-10</t>
        </is>
      </c>
      <c r="B335" s="41" t="inlineStr">
        <is>
          <t>Login &amp; Layout</t>
        </is>
      </c>
      <c r="C335" s="41" t="inlineStr">
        <is>
          <t>No link underlines</t>
        </is>
      </c>
      <c r="D335" s="41" t="inlineStr">
        <is>
          <t>UI</t>
        </is>
      </c>
      <c r="E335" s="41" t="inlineStr">
        <is>
          <t>Low</t>
        </is>
      </c>
      <c r="F335" s="41" t="inlineStr">
        <is>
          <t>Admin</t>
        </is>
      </c>
      <c r="G335" s="41" t="inlineStr">
        <is>
          <t>Parents and Students lists</t>
        </is>
      </c>
      <c r="H335" s="41" t="inlineStr">
        <is>
          <t>Look at names and mobile numbers, and hover over them</t>
        </is>
      </c>
      <c r="I335" s="41" t="inlineStr">
        <is>
          <t>No underline anywhere, hovering included; links are still coloured and clickable</t>
        </is>
      </c>
      <c r="J335" s="42" t="n"/>
      <c r="K335" s="42" t="inlineStr">
        <is>
          <t>Not Run</t>
        </is>
      </c>
      <c r="L335" s="42" t="n"/>
      <c r="M335" s="43" t="n"/>
      <c r="N335" s="42" t="n"/>
      <c r="O335" s="42" t="inlineStr">
        <is>
          <t>New Oct 16</t>
        </is>
      </c>
    </row>
    <row r="336" ht="15" customHeight="1" s="24">
      <c r="A336" s="41" t="inlineStr">
        <is>
          <t>CLS-15</t>
        </is>
      </c>
      <c r="B336" s="41" t="inlineStr">
        <is>
          <t>Class Sections</t>
        </is>
      </c>
      <c r="C336" s="41" t="inlineStr">
        <is>
          <t>Demo class set</t>
        </is>
      </c>
      <c r="D336" s="41" t="inlineStr">
        <is>
          <t>Functional</t>
        </is>
      </c>
      <c r="E336" s="41" t="inlineStr">
        <is>
          <t>Medium</t>
        </is>
      </c>
      <c r="F336" s="41" t="inlineStr">
        <is>
          <t>Admin</t>
        </is>
      </c>
      <c r="G336" s="41" t="inlineStr">
        <is>
          <t>After demo-reset and demo-seed</t>
        </is>
      </c>
      <c r="H336" s="41" t="inlineStr">
        <is>
          <t>Open Classes</t>
        </is>
      </c>
      <c r="I336" s="41" t="inlineStr">
        <is>
          <t>LKG, UKG and Class 1 to 5 each have sections A and B, every one with capacity 30</t>
        </is>
      </c>
      <c r="J336" s="42" t="n"/>
      <c r="K336" s="42" t="inlineStr">
        <is>
          <t>Not Run</t>
        </is>
      </c>
      <c r="L336" s="42" t="n"/>
      <c r="M336" s="43" t="n"/>
      <c r="N336" s="42" t="n"/>
      <c r="O336" s="42" t="inlineStr">
        <is>
          <t>New Oct 16</t>
        </is>
      </c>
    </row>
    <row r="337" ht="15" customHeight="1" s="24">
      <c r="A337" s="41" t="inlineStr">
        <is>
          <t>ADM-51</t>
        </is>
      </c>
      <c r="B337" s="41" t="inlineStr">
        <is>
          <t>Admissions</t>
        </is>
      </c>
      <c r="C337" s="41" t="inlineStr">
        <is>
          <t>Confirm - fee from Masters</t>
        </is>
      </c>
      <c r="D337" s="41" t="inlineStr">
        <is>
          <t>Functional</t>
        </is>
      </c>
      <c r="E337" s="41" t="inlineStr">
        <is>
          <t>High</t>
        </is>
      </c>
      <c r="F337" s="41" t="inlineStr">
        <is>
          <t>Admin</t>
        </is>
      </c>
      <c r="G337" s="41" t="inlineStr">
        <is>
          <t>Admission fee set for 'ZT Class A' in Masters (500); a Registered application for that class</t>
        </is>
      </c>
      <c r="H337" s="41" t="inlineStr">
        <is>
          <t>Open Confirm Admission</t>
        </is>
      </c>
      <c r="I337" s="41" t="inlineStr">
        <is>
          <t>Fee amount is already filled with 500; Payment reference is empty and still required; the fee can be changed</t>
        </is>
      </c>
      <c r="J337" s="42" t="n"/>
      <c r="K337" s="42" t="inlineStr">
        <is>
          <t>Not Run</t>
        </is>
      </c>
      <c r="L337" s="42" t="n"/>
      <c r="M337" s="43" t="n"/>
      <c r="N337" s="42" t="n"/>
      <c r="O337" s="42" t="n"/>
    </row>
    <row r="338" ht="15" customHeight="1" s="24">
      <c r="A338" s="41" t="inlineStr">
        <is>
          <t>ADM-52</t>
        </is>
      </c>
      <c r="B338" s="41" t="inlineStr">
        <is>
          <t>Admissions</t>
        </is>
      </c>
      <c r="C338" s="41" t="inlineStr">
        <is>
          <t>Confirm - no fee set</t>
        </is>
      </c>
      <c r="D338" s="41" t="inlineStr">
        <is>
          <t>Functional</t>
        </is>
      </c>
      <c r="E338" s="41" t="inlineStr">
        <is>
          <t>Medium</t>
        </is>
      </c>
      <c r="F338" s="41" t="inlineStr">
        <is>
          <t>Admin</t>
        </is>
      </c>
      <c r="G338" s="41" t="inlineStr">
        <is>
          <t>No fee set in Masters for the class of a Registered application</t>
        </is>
      </c>
      <c r="H338" s="41" t="inlineStr">
        <is>
          <t>Open Confirm Admission</t>
        </is>
      </c>
      <c r="I338" s="41" t="inlineStr">
        <is>
          <t>Fee amount is empty (nothing filled in); Confirm with it empty shows 'Fee amount is required.'</t>
        </is>
      </c>
      <c r="J338" s="42" t="n"/>
      <c r="K338" s="42" t="inlineStr">
        <is>
          <t>Not Run</t>
        </is>
      </c>
      <c r="L338" s="42" t="n"/>
      <c r="M338" s="43" t="n"/>
      <c r="N338" s="42" t="n"/>
      <c r="O338" s="42" t="n"/>
    </row>
    <row r="339" ht="15" customHeight="1" s="24">
      <c r="A339" s="41" t="inlineStr">
        <is>
          <t>ADM-53</t>
        </is>
      </c>
      <c r="B339" s="41" t="inlineStr">
        <is>
          <t>Admissions</t>
        </is>
      </c>
      <c r="C339" s="41" t="inlineStr">
        <is>
          <t>Confirm - fee edited</t>
        </is>
      </c>
      <c r="D339" s="41" t="inlineStr">
        <is>
          <t>Functional</t>
        </is>
      </c>
      <c r="E339" s="41" t="inlineStr">
        <is>
          <t>Medium</t>
        </is>
      </c>
      <c r="F339" s="41" t="inlineStr">
        <is>
          <t>Clerk</t>
        </is>
      </c>
      <c r="G339" s="41" t="inlineStr">
        <is>
          <t>Fee 500 set in Masters for the class; Registered application of that class</t>
        </is>
      </c>
      <c r="H339" s="41" t="inlineStr">
        <is>
          <t>Change the pre-filled fee to 450, enter a payment reference, confirm; then open Masters &gt; Admission fees</t>
        </is>
      </c>
      <c r="I339" s="41" t="inlineStr">
        <is>
          <t>The application keeps 450; the Masters fee for the class is still 500</t>
        </is>
      </c>
      <c r="J339" s="42" t="n"/>
      <c r="K339" s="42" t="inlineStr">
        <is>
          <t>Not Run</t>
        </is>
      </c>
      <c r="L339" s="42" t="n"/>
      <c r="M339" s="43" t="n"/>
      <c r="N339" s="42" t="n"/>
      <c r="O339" s="42" t="n"/>
    </row>
    <row r="340" ht="15" customHeight="1" s="24">
      <c r="A340" s="41" t="inlineStr">
        <is>
          <t>ADM-54</t>
        </is>
      </c>
      <c r="B340" s="41" t="inlineStr">
        <is>
          <t>Admissions</t>
        </is>
      </c>
      <c r="C340" s="41" t="inlineStr">
        <is>
          <t>Deleted list</t>
        </is>
      </c>
      <c r="D340" s="41" t="inlineStr">
        <is>
          <t>Functional</t>
        </is>
      </c>
      <c r="E340" s="41" t="inlineStr">
        <is>
          <t>High</t>
        </is>
      </c>
      <c r="F340" s="41" t="inlineStr">
        <is>
          <t>Admin</t>
        </is>
      </c>
      <c r="G340" s="41" t="inlineStr">
        <is>
          <t>One deleted application</t>
        </is>
      </c>
      <c r="H340" s="41" t="inlineStr">
        <is>
          <t>On Admissions open 'Deleted applications' and click Show deleted</t>
        </is>
      </c>
      <c r="I340" s="41" t="inlineStr">
        <is>
          <t>Row shows Reg No, applicant and phone, class applied for, status when deleted, date deleted and who deleted it (username); newest first</t>
        </is>
      </c>
      <c r="J340" s="42" t="n"/>
      <c r="K340" s="42" t="inlineStr">
        <is>
          <t>Not Run</t>
        </is>
      </c>
      <c r="L340" s="42" t="n"/>
      <c r="M340" s="43" t="n"/>
      <c r="N340" s="42" t="n"/>
      <c r="O340" s="42" t="n"/>
    </row>
    <row r="341" ht="15" customHeight="1" s="24">
      <c r="A341" s="41" t="inlineStr">
        <is>
          <t>ADM-55</t>
        </is>
      </c>
      <c r="B341" s="41" t="inlineStr">
        <is>
          <t>Admissions</t>
        </is>
      </c>
      <c r="C341" s="41" t="inlineStr">
        <is>
          <t>Deleted list - permission</t>
        </is>
      </c>
      <c r="D341" s="41" t="inlineStr">
        <is>
          <t>Security</t>
        </is>
      </c>
      <c r="E341" s="41" t="inlineStr">
        <is>
          <t>High</t>
        </is>
      </c>
      <c r="F341" s="41" t="inlineStr">
        <is>
          <t>Role without Admissions.Delete</t>
        </is>
      </c>
      <c r="G341" s="41" t="inlineStr">
        <is>
          <t>None</t>
        </is>
      </c>
      <c r="H341" s="41" t="inlineStr">
        <is>
          <t>Open Admissions</t>
        </is>
      </c>
      <c r="I341" s="41" t="inlineStr">
        <is>
          <t>The 'Deleted applications' panel is not shown</t>
        </is>
      </c>
      <c r="J341" s="42" t="n"/>
      <c r="K341" s="42" t="inlineStr">
        <is>
          <t>Not Run</t>
        </is>
      </c>
      <c r="L341" s="42" t="n"/>
      <c r="M341" s="43" t="n"/>
      <c r="N341" s="42" t="n"/>
      <c r="O341" s="42" t="n"/>
    </row>
    <row r="342" ht="15" customHeight="1" s="24">
      <c r="A342" s="41" t="inlineStr">
        <is>
          <t>ADM-56</t>
        </is>
      </c>
      <c r="B342" s="41" t="inlineStr">
        <is>
          <t>Admissions</t>
        </is>
      </c>
      <c r="C342" s="41" t="inlineStr">
        <is>
          <t>Restore</t>
        </is>
      </c>
      <c r="D342" s="41" t="inlineStr">
        <is>
          <t>Functional</t>
        </is>
      </c>
      <c r="E342" s="41" t="inlineStr">
        <is>
          <t>High</t>
        </is>
      </c>
      <c r="F342" s="41" t="inlineStr">
        <is>
          <t>Admin</t>
        </is>
      </c>
      <c r="G342" s="41" t="inlineStr">
        <is>
          <t>A deleted Registered application</t>
        </is>
      </c>
      <c r="H342" s="41" t="inlineStr">
        <is>
          <t>Show deleted; click Restore on the row; confirm</t>
        </is>
      </c>
      <c r="I342" s="41" t="inlineStr">
        <is>
          <t>Success message; the row leaves the Deleted list and the application is back in the Admissions list with its old status and details; Edit/View work</t>
        </is>
      </c>
      <c r="J342" s="42" t="n"/>
      <c r="K342" s="42" t="inlineStr">
        <is>
          <t>Not Run</t>
        </is>
      </c>
      <c r="L342" s="42" t="n"/>
      <c r="M342" s="43" t="n"/>
      <c r="N342" s="42" t="n"/>
      <c r="O342" s="42" t="n"/>
    </row>
    <row r="343" ht="15" customHeight="1" s="24">
      <c r="A343" s="41" t="inlineStr">
        <is>
          <t>ADM-57</t>
        </is>
      </c>
      <c r="B343" s="41" t="inlineStr">
        <is>
          <t>Admissions</t>
        </is>
      </c>
      <c r="C343" s="41" t="inlineStr">
        <is>
          <t>Restore - Admin only</t>
        </is>
      </c>
      <c r="D343" s="41" t="inlineStr">
        <is>
          <t>Security</t>
        </is>
      </c>
      <c r="E343" s="41" t="inlineStr">
        <is>
          <t>High</t>
        </is>
      </c>
      <c r="F343" s="41" t="inlineStr">
        <is>
          <t>Custom role 'ZT DeleteNoAdmin' (Admissions.View + Admissions.Delete)</t>
        </is>
      </c>
      <c r="G343" s="41" t="inlineStr">
        <is>
          <t>A deleted application</t>
        </is>
      </c>
      <c r="H343" s="41" t="inlineStr">
        <is>
          <t>Show deleted and look at the rows; then try Restore through Swagger (POST /api/admissions/{id}/restore)</t>
        </is>
      </c>
      <c r="I343" s="41" t="inlineStr">
        <is>
          <t>The list is visible but there is no Restore button; the API answers 403 'Only an Admin can restore a deleted application.'; the application stays deleted</t>
        </is>
      </c>
      <c r="J343" s="42" t="n"/>
      <c r="K343" s="42" t="inlineStr">
        <is>
          <t>Not Run</t>
        </is>
      </c>
      <c r="L343" s="42" t="n"/>
      <c r="M343" s="43" t="n"/>
      <c r="N343" s="42" t="n"/>
      <c r="O343" s="42" t="n"/>
    </row>
    <row r="344" ht="15" customHeight="1" s="24">
      <c r="A344" s="41" t="inlineStr">
        <is>
          <t>ADM-58</t>
        </is>
      </c>
      <c r="B344" s="41" t="inlineStr">
        <is>
          <t>Admissions</t>
        </is>
      </c>
      <c r="C344" s="41" t="inlineStr">
        <is>
          <t>Restore - already restored</t>
        </is>
      </c>
      <c r="D344" s="41" t="inlineStr">
        <is>
          <t>Negative</t>
        </is>
      </c>
      <c r="E344" s="41" t="inlineStr">
        <is>
          <t>Medium</t>
        </is>
      </c>
      <c r="F344" s="41" t="inlineStr">
        <is>
          <t>Admin</t>
        </is>
      </c>
      <c r="G344" s="41" t="inlineStr">
        <is>
          <t>A deleted application open in two browser tabs</t>
        </is>
      </c>
      <c r="H344" s="41" t="inlineStr">
        <is>
          <t>Restore it in tab 1; then click Restore in tab 2</t>
        </is>
      </c>
      <c r="I344" s="41" t="inlineStr">
        <is>
          <t>Tab 2 shows an error that the application is not deleted (409); nothing changes</t>
        </is>
      </c>
      <c r="J344" s="42" t="n"/>
      <c r="K344" s="42" t="inlineStr">
        <is>
          <t>Not Run</t>
        </is>
      </c>
      <c r="L344" s="42" t="n"/>
      <c r="M344" s="43" t="n"/>
      <c r="N344" s="42" t="n"/>
      <c r="O344" s="42" t="n"/>
    </row>
    <row r="345" ht="15" customHeight="1" s="24">
      <c r="A345" s="41" t="inlineStr">
        <is>
          <t>ADM-59</t>
        </is>
      </c>
      <c r="B345" s="41" t="inlineStr">
        <is>
          <t>Admissions</t>
        </is>
      </c>
      <c r="C345" s="41" t="inlineStr">
        <is>
          <t>Restore - audit</t>
        </is>
      </c>
      <c r="D345" s="41" t="inlineStr">
        <is>
          <t>Functional</t>
        </is>
      </c>
      <c r="E345" s="41" t="inlineStr">
        <is>
          <t>Medium</t>
        </is>
      </c>
      <c r="F345" s="41" t="inlineStr">
        <is>
          <t>Admin</t>
        </is>
      </c>
      <c r="G345" s="41" t="inlineStr">
        <is>
          <t>An application you just restored</t>
        </is>
      </c>
      <c r="H345" s="41" t="inlineStr">
        <is>
          <t>Ask a developer to look in AuditLogs for TableName 'Admissions' and this Id</t>
        </is>
      </c>
      <c r="I345" s="41" t="inlineStr">
        <is>
          <t>An 'Update' row shows IsDeleted true -&gt; false with the user and the time</t>
        </is>
      </c>
      <c r="J345" s="42" t="n"/>
      <c r="K345" s="42" t="inlineStr">
        <is>
          <t>Not Run</t>
        </is>
      </c>
      <c r="L345" s="42" t="n"/>
      <c r="M345" s="43" t="n"/>
      <c r="N345" s="42" t="n"/>
      <c r="O345" s="42" t="n"/>
    </row>
    <row r="346" ht="15" customHeight="1" s="24">
      <c r="A346" s="41" t="inlineStr">
        <is>
          <t>ADM-60</t>
        </is>
      </c>
      <c r="B346" s="41" t="inlineStr">
        <is>
          <t>Admissions</t>
        </is>
      </c>
      <c r="C346" s="41" t="inlineStr">
        <is>
          <t>Admission number - year</t>
        </is>
      </c>
      <c r="D346" s="41" t="inlineStr">
        <is>
          <t>Functional</t>
        </is>
      </c>
      <c r="E346" s="41" t="inlineStr">
        <is>
          <t>Medium</t>
        </is>
      </c>
      <c r="F346" s="41" t="inlineStr">
        <is>
          <t>Admin</t>
        </is>
      </c>
      <c r="G346" s="41" t="inlineStr">
        <is>
          <t>Two Admitted applications</t>
        </is>
      </c>
      <c r="H346" s="41" t="inlineStr">
        <is>
          <t>Enrol one with admission date in 2026 and one with admission date in 2027 (blank numbers); then enrol a second one in 2026</t>
        </is>
      </c>
      <c r="I346" s="41" t="inlineStr">
        <is>
          <t>ADM-2026-000n for 2026 and ADM-2027-0001 for 2027 (the serial restarts each year); the second 2026 number continues the 2026 serial</t>
        </is>
      </c>
      <c r="J346" s="42" t="n"/>
      <c r="K346" s="42" t="inlineStr">
        <is>
          <t>Not Run</t>
        </is>
      </c>
      <c r="L346" s="42" t="n"/>
      <c r="M346" s="43" t="n"/>
      <c r="N346" s="42" t="n"/>
      <c r="O346" s="42" t="n"/>
    </row>
    <row r="347" ht="15" customHeight="1" s="24">
      <c r="A347" s="41" t="inlineStr">
        <is>
          <t>ADM-61</t>
        </is>
      </c>
      <c r="B347" s="41" t="inlineStr">
        <is>
          <t>Admissions</t>
        </is>
      </c>
      <c r="C347" s="41" t="inlineStr">
        <is>
          <t>Registration date and REG year</t>
        </is>
      </c>
      <c r="D347" s="41" t="inlineStr">
        <is>
          <t>Exploratory</t>
        </is>
      </c>
      <c r="E347" s="41" t="inlineStr">
        <is>
          <t>Low</t>
        </is>
      </c>
      <c r="F347" s="41" t="inlineStr">
        <is>
          <t>Admin</t>
        </is>
      </c>
      <c r="G347" s="41" t="inlineStr">
        <is>
          <t>Test between 00:00 and 04:00 Abu Dhabi time, or on 1 January</t>
        </is>
      </c>
      <c r="H347" s="41" t="inlineStr">
        <is>
          <t>Register an application and read its registration date and REG-year</t>
        </is>
      </c>
      <c r="I347" s="41" t="inlineStr">
        <is>
          <t>Both follow the SCHOOL's date (School settings time zone), not the server's UTC date. Record what you see</t>
        </is>
      </c>
      <c r="J347" s="42" t="n"/>
      <c r="K347" s="42" t="inlineStr">
        <is>
          <t>Not Run</t>
        </is>
      </c>
      <c r="L347" s="42" t="n"/>
      <c r="M347" s="43" t="n"/>
      <c r="N347" s="42" t="n"/>
      <c r="O347" s="42" t="n"/>
    </row>
    <row r="348" ht="15" customHeight="1" s="24">
      <c r="A348" s="41" t="inlineStr">
        <is>
          <t>STU-56</t>
        </is>
      </c>
      <c r="B348" s="41" t="inlineStr">
        <is>
          <t>Students</t>
        </is>
      </c>
      <c r="C348" s="41" t="inlineStr">
        <is>
          <t>Emirates ID - shown by school country</t>
        </is>
      </c>
      <c r="D348" s="41" t="inlineStr">
        <is>
          <t>Functional</t>
        </is>
      </c>
      <c r="E348" s="41" t="inlineStr">
        <is>
          <t>High</t>
        </is>
      </c>
      <c r="F348" s="41" t="inlineStr">
        <is>
          <t>Admin</t>
        </is>
      </c>
      <c r="G348" s="41" t="inlineStr">
        <is>
          <t>School settings country = United Arab Emirates</t>
        </is>
      </c>
      <c r="H348" s="41" t="inlineStr">
        <is>
          <t>Edit a student &gt; Identity section</t>
        </is>
      </c>
      <c r="I348" s="41" t="inlineStr">
        <is>
          <t>An optional Emirates ID field is shown; the student can be saved with it blank</t>
        </is>
      </c>
      <c r="J348" s="42" t="n"/>
      <c r="K348" s="42" t="inlineStr">
        <is>
          <t>Not Run</t>
        </is>
      </c>
      <c r="L348" s="42" t="n"/>
      <c r="M348" s="43" t="n"/>
      <c r="N348" s="42" t="n"/>
      <c r="O348" s="42" t="n"/>
    </row>
    <row r="349" ht="15" customHeight="1" s="24">
      <c r="A349" s="41" t="inlineStr">
        <is>
          <t>STU-57</t>
        </is>
      </c>
      <c r="B349" s="41" t="inlineStr">
        <is>
          <t>Students</t>
        </is>
      </c>
      <c r="C349" s="41" t="inlineStr">
        <is>
          <t>Emirates ID - formats</t>
        </is>
      </c>
      <c r="D349" s="41" t="inlineStr">
        <is>
          <t>Validation</t>
        </is>
      </c>
      <c r="E349" s="41" t="inlineStr">
        <is>
          <t>High</t>
        </is>
      </c>
      <c r="F349" s="41" t="inlineStr">
        <is>
          <t>Admin</t>
        </is>
      </c>
      <c r="G349" s="41" t="inlineStr">
        <is>
          <t>School country UAE</t>
        </is>
      </c>
      <c r="H349" s="41" t="inlineStr">
        <is>
          <t>Enter 784-1990-1234567-1, save; then enter 784199012345671 on another student, save; reopen both</t>
        </is>
      </c>
      <c r="I349" s="41" t="inlineStr">
        <is>
          <t>Both are accepted; stored as 15 digits and shown with dashes</t>
        </is>
      </c>
      <c r="J349" s="42" t="n"/>
      <c r="K349" s="42" t="inlineStr">
        <is>
          <t>Not Run</t>
        </is>
      </c>
      <c r="L349" s="42" t="n"/>
      <c r="M349" s="43" t="n"/>
      <c r="N349" s="42" t="n"/>
      <c r="O349" s="42" t="n"/>
    </row>
    <row r="350" ht="15" customHeight="1" s="24">
      <c r="A350" s="41" t="inlineStr">
        <is>
          <t>STU-58</t>
        </is>
      </c>
      <c r="B350" s="41" t="inlineStr">
        <is>
          <t>Students</t>
        </is>
      </c>
      <c r="C350" s="41" t="inlineStr">
        <is>
          <t>Emirates ID - invalid</t>
        </is>
      </c>
      <c r="D350" s="41" t="inlineStr">
        <is>
          <t>Validation</t>
        </is>
      </c>
      <c r="E350" s="41" t="inlineStr">
        <is>
          <t>High</t>
        </is>
      </c>
      <c r="F350" s="41" t="inlineStr">
        <is>
          <t>Admin</t>
        </is>
      </c>
      <c r="G350" s="41" t="inlineStr">
        <is>
          <t>School country UAE</t>
        </is>
      </c>
      <c r="H350" s="41" t="inlineStr">
        <is>
          <t>Try 14 digits, 16 digits, a number not starting 784, and one with a letter</t>
        </is>
      </c>
      <c r="I350" s="41" t="inlineStr">
        <is>
          <t>Each is refused with 'Emirates ID must be 15 digits starting with 784 (for example 784-1990-1234567-1).'</t>
        </is>
      </c>
      <c r="J350" s="42" t="n"/>
      <c r="K350" s="42" t="inlineStr">
        <is>
          <t>Not Run</t>
        </is>
      </c>
      <c r="L350" s="42" t="n"/>
      <c r="M350" s="43" t="n"/>
      <c r="N350" s="42" t="n"/>
      <c r="O350" s="42" t="n"/>
    </row>
    <row r="351" ht="15" customHeight="1" s="24">
      <c r="A351" s="41" t="inlineStr">
        <is>
          <t>STU-59</t>
        </is>
      </c>
      <c r="B351" s="41" t="inlineStr">
        <is>
          <t>Students</t>
        </is>
      </c>
      <c r="C351" s="41" t="inlineStr">
        <is>
          <t>Emirates ID - duplicate</t>
        </is>
      </c>
      <c r="D351" s="41" t="inlineStr">
        <is>
          <t>Negative</t>
        </is>
      </c>
      <c r="E351" s="41" t="inlineStr">
        <is>
          <t>High</t>
        </is>
      </c>
      <c r="F351" s="41" t="inlineStr">
        <is>
          <t>Admin</t>
        </is>
      </c>
      <c r="G351" s="41" t="inlineStr">
        <is>
          <t>Student A has an Emirates ID</t>
        </is>
      </c>
      <c r="H351" s="41" t="inlineStr">
        <is>
          <t>Give the same Emirates ID to student B and save</t>
        </is>
      </c>
      <c r="I351" s="41" t="inlineStr">
        <is>
          <t>Refused with a clear message that the number is used by another student; B is unchanged</t>
        </is>
      </c>
      <c r="J351" s="42" t="n"/>
      <c r="K351" s="42" t="inlineStr">
        <is>
          <t>Not Run</t>
        </is>
      </c>
      <c r="L351" s="42" t="n"/>
      <c r="M351" s="43" t="n"/>
      <c r="N351" s="42" t="n"/>
      <c r="O351" s="42" t="n"/>
    </row>
    <row r="352" ht="15" customHeight="1" s="24">
      <c r="A352" s="41" t="inlineStr">
        <is>
          <t>STU-60</t>
        </is>
      </c>
      <c r="B352" s="41" t="inlineStr">
        <is>
          <t>Students</t>
        </is>
      </c>
      <c r="C352" s="41" t="inlineStr">
        <is>
          <t>Emirates ID - other countries</t>
        </is>
      </c>
      <c r="D352" s="41" t="inlineStr">
        <is>
          <t>Functional</t>
        </is>
      </c>
      <c r="E352" s="41" t="inlineStr">
        <is>
          <t>Medium</t>
        </is>
      </c>
      <c r="F352" s="41" t="inlineStr">
        <is>
          <t>Admin</t>
        </is>
      </c>
      <c r="G352" s="41" t="inlineStr">
        <is>
          <t>School settings country changed to India (then change it back)</t>
        </is>
      </c>
      <c r="H352" s="41" t="inlineStr">
        <is>
          <t>Edit a student &gt; Identity section</t>
        </is>
      </c>
      <c r="I352" s="41" t="inlineStr">
        <is>
          <t>The Emirates ID field is not shown</t>
        </is>
      </c>
      <c r="J352" s="42" t="n"/>
      <c r="K352" s="42" t="inlineStr">
        <is>
          <t>Not Run</t>
        </is>
      </c>
      <c r="L352" s="42" t="n"/>
      <c r="M352" s="43" t="n"/>
      <c r="N352" s="42" t="n"/>
      <c r="O352" s="42" t="n"/>
    </row>
    <row r="353" ht="15" customHeight="1" s="24">
      <c r="A353" s="41" t="inlineStr">
        <is>
          <t>STU-61</t>
        </is>
      </c>
      <c r="B353" s="41" t="inlineStr">
        <is>
          <t>Students</t>
        </is>
      </c>
      <c r="C353" s="41" t="inlineStr">
        <is>
          <t>Identity - stale save</t>
        </is>
      </c>
      <c r="D353" s="41" t="inlineStr">
        <is>
          <t>Negative</t>
        </is>
      </c>
      <c r="E353" s="41" t="inlineStr">
        <is>
          <t>High</t>
        </is>
      </c>
      <c r="F353" s="41" t="inlineStr">
        <is>
          <t>Admin</t>
        </is>
      </c>
      <c r="G353" s="41" t="inlineStr">
        <is>
          <t>One student open in two browser tabs</t>
        </is>
      </c>
      <c r="H353" s="41" t="inlineStr">
        <is>
          <t>Tab 1: change the passport number and save. Tab 2 (not refreshed): change the Emirates ID and save</t>
        </is>
      </c>
      <c r="I353" s="41" t="inlineStr">
        <is>
          <t>Tab 2 is refused with a conflict message asking to reload; nothing from tab 2 is saved. After reload, editing works</t>
        </is>
      </c>
      <c r="J353" s="42" t="n"/>
      <c r="K353" s="42" t="inlineStr">
        <is>
          <t>Not Run</t>
        </is>
      </c>
      <c r="L353" s="42" t="n"/>
      <c r="M353" s="43" t="n"/>
      <c r="N353" s="42" t="n"/>
      <c r="O353" s="42" t="n"/>
    </row>
    <row r="354" ht="15" customHeight="1" s="24">
      <c r="A354" s="41" t="inlineStr">
        <is>
          <t>STU-62</t>
        </is>
      </c>
      <c r="B354" s="41" t="inlineStr">
        <is>
          <t>Students</t>
        </is>
      </c>
      <c r="C354" s="41" t="inlineStr">
        <is>
          <t>Reactivate into a full class</t>
        </is>
      </c>
      <c r="D354" s="41" t="inlineStr">
        <is>
          <t>Negative</t>
        </is>
      </c>
      <c r="E354" s="41" t="inlineStr">
        <is>
          <t>High</t>
        </is>
      </c>
      <c r="F354" s="41" t="inlineStr">
        <is>
          <t>Admin</t>
        </is>
      </c>
      <c r="G354" s="41" t="inlineStr">
        <is>
          <t>An Inactive student in a class that is now full</t>
        </is>
      </c>
      <c r="H354" s="41" t="inlineStr">
        <is>
          <t>Edit the student; set Status to Active; save</t>
        </is>
      </c>
      <c r="I354" s="41" t="inlineStr">
        <is>
          <t>Refused: the class is full; the student stays Inactive</t>
        </is>
      </c>
      <c r="J354" s="42" t="n"/>
      <c r="K354" s="42" t="inlineStr">
        <is>
          <t>Not Run</t>
        </is>
      </c>
      <c r="L354" s="42" t="n"/>
      <c r="M354" s="43" t="n"/>
      <c r="N354" s="42" t="n"/>
      <c r="O354" s="42" t="n"/>
    </row>
    <row r="355" ht="15" customHeight="1" s="24">
      <c r="A355" s="41" t="inlineStr">
        <is>
          <t>STU-63</t>
        </is>
      </c>
      <c r="B355" s="41" t="inlineStr">
        <is>
          <t>Students</t>
        </is>
      </c>
      <c r="C355" s="41" t="inlineStr">
        <is>
          <t>Reactivate with room</t>
        </is>
      </c>
      <c r="D355" s="41" t="inlineStr">
        <is>
          <t>Functional</t>
        </is>
      </c>
      <c r="E355" s="41" t="inlineStr">
        <is>
          <t>Medium</t>
        </is>
      </c>
      <c r="F355" s="41" t="inlineStr">
        <is>
          <t>Admin</t>
        </is>
      </c>
      <c r="G355" s="41" t="inlineStr">
        <is>
          <t>An Inactive student in a class with a free seat</t>
        </is>
      </c>
      <c r="H355" s="41" t="inlineStr">
        <is>
          <t>Set Status to Active; save</t>
        </is>
      </c>
      <c r="I355" s="41" t="inlineStr">
        <is>
          <t>Saved; the student is Active and counts in the class seats</t>
        </is>
      </c>
      <c r="J355" s="42" t="n"/>
      <c r="K355" s="42" t="inlineStr">
        <is>
          <t>Not Run</t>
        </is>
      </c>
      <c r="L355" s="42" t="n"/>
      <c r="M355" s="43" t="n"/>
      <c r="N355" s="42" t="n"/>
      <c r="O355" s="42" t="n"/>
    </row>
    <row r="356" ht="15" customHeight="1" s="24">
      <c r="A356" s="41" t="inlineStr">
        <is>
          <t>STU-64</t>
        </is>
      </c>
      <c r="B356" s="41" t="inlineStr">
        <is>
          <t>Students</t>
        </is>
      </c>
      <c r="C356" s="41" t="inlineStr">
        <is>
          <t>Primary guardian - switch</t>
        </is>
      </c>
      <c r="D356" s="41" t="inlineStr">
        <is>
          <t>Functional</t>
        </is>
      </c>
      <c r="E356" s="41" t="inlineStr">
        <is>
          <t>High</t>
        </is>
      </c>
      <c r="F356" s="41" t="inlineStr">
        <is>
          <t>Admin</t>
        </is>
      </c>
      <c r="G356" s="41" t="inlineStr">
        <is>
          <t>A student with two linked parents, one primary</t>
        </is>
      </c>
      <c r="H356" s="41" t="inlineStr">
        <is>
          <t>Use 'Set as primary' on the other parent</t>
        </is>
      </c>
      <c r="I356" s="41" t="inlineStr">
        <is>
          <t>Exactly one primary contact remains (the new one); the old one is no longer primary; no error</t>
        </is>
      </c>
      <c r="J356" s="42" t="n"/>
      <c r="K356" s="42" t="inlineStr">
        <is>
          <t>Not Run</t>
        </is>
      </c>
      <c r="L356" s="42" t="n"/>
      <c r="M356" s="43" t="n"/>
      <c r="N356" s="42" t="n"/>
      <c r="O356" s="42" t="n"/>
    </row>
    <row r="357" ht="15" customHeight="1" s="24">
      <c r="A357" s="41" t="inlineStr">
        <is>
          <t>STU-65</t>
        </is>
      </c>
      <c r="B357" s="41" t="inlineStr">
        <is>
          <t>Students</t>
        </is>
      </c>
      <c r="C357" s="41" t="inlineStr">
        <is>
          <t>Second primary guardian</t>
        </is>
      </c>
      <c r="D357" s="41" t="inlineStr">
        <is>
          <t>Negative</t>
        </is>
      </c>
      <c r="E357" s="41" t="inlineStr">
        <is>
          <t>High</t>
        </is>
      </c>
      <c r="F357" s="41" t="inlineStr">
        <is>
          <t>Admin</t>
        </is>
      </c>
      <c r="G357" s="41" t="inlineStr">
        <is>
          <t>A student that already has a primary contact</t>
        </is>
      </c>
      <c r="H357" s="41" t="inlineStr">
        <is>
          <t>Link another parent AS primary</t>
        </is>
      </c>
      <c r="I357" s="41" t="inlineStr">
        <is>
          <t>Refused (409) with a message naming the current primary and telling you to link without the flag and then 'Set as primary'; the existing primary is unchanged</t>
        </is>
      </c>
      <c r="J357" s="42" t="n"/>
      <c r="K357" s="42" t="inlineStr">
        <is>
          <t>Not Run</t>
        </is>
      </c>
      <c r="L357" s="42" t="n"/>
      <c r="M357" s="43" t="n"/>
      <c r="N357" s="42" t="n"/>
      <c r="O357" s="42" t="n"/>
    </row>
    <row r="358" ht="15" customHeight="1" s="24">
      <c r="A358" s="41" t="inlineStr">
        <is>
          <t>PAR-20</t>
        </is>
      </c>
      <c r="B358" s="41" t="inlineStr">
        <is>
          <t>Parents</t>
        </is>
      </c>
      <c r="C358" s="41" t="inlineStr">
        <is>
          <t>Field lengths</t>
        </is>
      </c>
      <c r="D358" s="41" t="inlineStr">
        <is>
          <t>Validation</t>
        </is>
      </c>
      <c r="E358" s="41" t="inlineStr">
        <is>
          <t>Medium</t>
        </is>
      </c>
      <c r="F358" s="41" t="inlineStr">
        <is>
          <t>Admin</t>
        </is>
      </c>
      <c r="G358" s="41" t="inlineStr">
        <is>
          <t>None</t>
        </is>
      </c>
      <c r="H358" s="41" t="inlineStr">
        <is>
          <t>Add a parent with a 101-character name, e-mail of 101 characters, then a 21-character mobile</t>
        </is>
      </c>
      <c r="I358" s="41" t="inlineStr">
        <is>
          <t>Each field shows its own error naming the field; nothing is saved</t>
        </is>
      </c>
      <c r="J358" s="42" t="n"/>
      <c r="K358" s="42" t="inlineStr">
        <is>
          <t>Not Run</t>
        </is>
      </c>
      <c r="L358" s="42" t="n"/>
      <c r="M358" s="43" t="n"/>
      <c r="N358" s="42" t="n"/>
      <c r="O358" s="42" t="n"/>
    </row>
    <row r="359" ht="15" customHeight="1" s="24">
      <c r="A359" s="41" t="inlineStr">
        <is>
          <t>PAR-21</t>
        </is>
      </c>
      <c r="B359" s="41" t="inlineStr">
        <is>
          <t>Parents</t>
        </is>
      </c>
      <c r="C359" s="41" t="inlineStr">
        <is>
          <t>E-mail and phone formats</t>
        </is>
      </c>
      <c r="D359" s="41" t="inlineStr">
        <is>
          <t>Validation</t>
        </is>
      </c>
      <c r="E359" s="41" t="inlineStr">
        <is>
          <t>Medium</t>
        </is>
      </c>
      <c r="F359" s="41" t="inlineStr">
        <is>
          <t>Admin</t>
        </is>
      </c>
      <c r="G359" s="41" t="inlineStr">
        <is>
          <t>None</t>
        </is>
      </c>
      <c r="H359" s="41" t="inlineStr">
        <is>
          <t>Enter email 'abc', mobile 'abc', WhatsApp '12', work e-mail 'x@' and work phone 'zz'</t>
        </is>
      </c>
      <c r="I359" s="41" t="inlineStr">
        <is>
          <t>Each shows a field error (e-mail / phone format); optional fields left blank are accepted</t>
        </is>
      </c>
      <c r="J359" s="42" t="n"/>
      <c r="K359" s="42" t="inlineStr">
        <is>
          <t>Not Run</t>
        </is>
      </c>
      <c r="L359" s="42" t="n"/>
      <c r="M359" s="43" t="n"/>
      <c r="N359" s="42" t="n"/>
      <c r="O359" s="42" t="n"/>
    </row>
    <row r="360" ht="15" customHeight="1" s="24">
      <c r="A360" s="41" t="inlineStr">
        <is>
          <t>PAR-22</t>
        </is>
      </c>
      <c r="B360" s="41" t="inlineStr">
        <is>
          <t>Parents</t>
        </is>
      </c>
      <c r="C360" s="41" t="inlineStr">
        <is>
          <t>Edit with an old mobile</t>
        </is>
      </c>
      <c r="D360" s="41" t="inlineStr">
        <is>
          <t>Exploratory</t>
        </is>
      </c>
      <c r="E360" s="41" t="inlineStr">
        <is>
          <t>Low</t>
        </is>
      </c>
      <c r="F360" s="41" t="inlineStr">
        <is>
          <t>Admin</t>
        </is>
      </c>
      <c r="G360" s="41" t="inlineStr">
        <is>
          <t>A parent whose mobile has odd characters (older data)</t>
        </is>
      </c>
      <c r="H360" s="41" t="inlineStr">
        <is>
          <t>Open Edit and save without changing the mobile</t>
        </is>
      </c>
      <c r="I360" s="41" t="inlineStr">
        <is>
          <t>Record what you see: the mobile must now match the phone format, so an old odd value may show a field error</t>
        </is>
      </c>
      <c r="J360" s="42" t="n"/>
      <c r="K360" s="42" t="inlineStr">
        <is>
          <t>Not Run</t>
        </is>
      </c>
      <c r="L360" s="42" t="n"/>
      <c r="M360" s="43" t="n"/>
      <c r="N360" s="42" t="n"/>
      <c r="O360" s="42" t="n"/>
    </row>
    <row r="361" ht="15" customHeight="1" s="24">
      <c r="A361" s="41" t="inlineStr">
        <is>
          <t>ATT-27</t>
        </is>
      </c>
      <c r="B361" s="41" t="inlineStr">
        <is>
          <t>Attendance</t>
        </is>
      </c>
      <c r="C361" s="41" t="inlineStr">
        <is>
          <t>Lock - 24 hours after first save</t>
        </is>
      </c>
      <c r="D361" s="41" t="inlineStr">
        <is>
          <t>Negative</t>
        </is>
      </c>
      <c r="E361" s="41" t="inlineStr">
        <is>
          <t>High</t>
        </is>
      </c>
      <c r="F361" s="41" t="inlineStr">
        <is>
          <t>Clerk</t>
        </is>
      </c>
      <c r="G361" s="41" t="inlineStr">
        <is>
          <t>A register for yesterday that was first saved more than 24 hours ago (still within the one-day window)</t>
        </is>
      </c>
      <c r="H361" s="41" t="inlineStr">
        <is>
          <t>Open that date and try to change a status and save</t>
        </is>
      </c>
      <c r="I361" s="41" t="inlineStr">
        <is>
          <t>Refused: 'This register was saved more than 24 hours ago. Only an Admin can change it now.'; nothing changes</t>
        </is>
      </c>
      <c r="J361" s="42" t="n"/>
      <c r="K361" s="42" t="inlineStr">
        <is>
          <t>Not Run</t>
        </is>
      </c>
      <c r="L361" s="42" t="n"/>
      <c r="M361" s="43" t="n"/>
      <c r="N361" s="42" t="n"/>
      <c r="O361" s="42" t="n"/>
    </row>
    <row r="362" ht="15" customHeight="1" s="24">
      <c r="A362" s="41" t="inlineStr">
        <is>
          <t>ATT-28</t>
        </is>
      </c>
      <c r="B362" s="41" t="inlineStr">
        <is>
          <t>Attendance</t>
        </is>
      </c>
      <c r="C362" s="41" t="inlineStr">
        <is>
          <t>Edit within 24 hours</t>
        </is>
      </c>
      <c r="D362" s="41" t="inlineStr">
        <is>
          <t>Functional</t>
        </is>
      </c>
      <c r="E362" s="41" t="inlineStr">
        <is>
          <t>High</t>
        </is>
      </c>
      <c r="F362" s="41" t="inlineStr">
        <is>
          <t>Teacher</t>
        </is>
      </c>
      <c r="G362" s="41" t="inlineStr">
        <is>
          <t>Class teacher; a register for today saved a few hours ago</t>
        </is>
      </c>
      <c r="H362" s="41" t="inlineStr">
        <is>
          <t>Open today; change two statuses; save; repeat once more</t>
        </is>
      </c>
      <c r="I362" s="41" t="inlineStr">
        <is>
          <t>Both saves succeed; the register stays editable until 24 hours after its FIRST save</t>
        </is>
      </c>
      <c r="J362" s="42" t="n"/>
      <c r="K362" s="42" t="inlineStr">
        <is>
          <t>Not Run</t>
        </is>
      </c>
      <c r="L362" s="42" t="n"/>
      <c r="M362" s="43" t="n"/>
      <c r="N362" s="42" t="n"/>
      <c r="O362" s="42" t="n"/>
    </row>
    <row r="363" ht="15" customHeight="1" s="24">
      <c r="A363" s="41" t="inlineStr">
        <is>
          <t>ATT-29</t>
        </is>
      </c>
      <c r="B363" s="41" t="inlineStr">
        <is>
          <t>Attendance</t>
        </is>
      </c>
      <c r="C363" s="41" t="inlineStr">
        <is>
          <t>Admin is not locked</t>
        </is>
      </c>
      <c r="D363" s="41" t="inlineStr">
        <is>
          <t>Functional</t>
        </is>
      </c>
      <c r="E363" s="41" t="inlineStr">
        <is>
          <t>High</t>
        </is>
      </c>
      <c r="F363" s="41" t="inlineStr">
        <is>
          <t>Admin</t>
        </is>
      </c>
      <c r="G363" s="41" t="inlineStr">
        <is>
          <t>A register first saved more than 24 hours ago, and one older than yesterday</t>
        </is>
      </c>
      <c r="H363" s="41" t="inlineStr">
        <is>
          <t>Open each and change a status</t>
        </is>
      </c>
      <c r="I363" s="41" t="inlineStr">
        <is>
          <t>Both can be edited and saved by an Admin</t>
        </is>
      </c>
      <c r="J363" s="42" t="n"/>
      <c r="K363" s="42" t="inlineStr">
        <is>
          <t>Not Run</t>
        </is>
      </c>
      <c r="L363" s="42" t="n"/>
      <c r="M363" s="43" t="n"/>
      <c r="N363" s="42" t="n"/>
      <c r="O363" s="42" t="n"/>
    </row>
    <row r="364" ht="15" customHeight="1" s="24">
      <c r="A364" s="41" t="inlineStr">
        <is>
          <t>DOC-24</t>
        </is>
      </c>
      <c r="B364" s="41" t="inlineStr">
        <is>
          <t>Documents</t>
        </is>
      </c>
      <c r="C364" s="41" t="inlineStr">
        <is>
          <t>Admin verifies own upload</t>
        </is>
      </c>
      <c r="D364" s="41" t="inlineStr">
        <is>
          <t>Functional</t>
        </is>
      </c>
      <c r="E364" s="41" t="inlineStr">
        <is>
          <t>High</t>
        </is>
      </c>
      <c r="F364" s="41" t="inlineStr">
        <is>
          <t>Admin</t>
        </is>
      </c>
      <c r="G364" s="41" t="inlineStr">
        <is>
          <t>A document uploaded by the same Admin</t>
        </is>
      </c>
      <c r="H364" s="41" t="inlineStr">
        <is>
          <t>Verify it (and, on another one, reject it)</t>
        </is>
      </c>
      <c r="I364" s="41" t="inlineStr">
        <is>
          <t>Allowed: status Verified / Rejected; reviewer is the Admin. (A non-Admin cannot, see DOC-13)</t>
        </is>
      </c>
      <c r="J364" s="42" t="n"/>
      <c r="K364" s="42" t="inlineStr">
        <is>
          <t>Not Run</t>
        </is>
      </c>
      <c r="L364" s="42" t="n"/>
      <c r="M364" s="43" t="n"/>
      <c r="N364" s="42" t="n"/>
      <c r="O364" s="42" t="n"/>
    </row>
    <row r="365" ht="15" customHeight="1" s="24">
      <c r="A365" s="41" t="inlineStr">
        <is>
          <t>USR-24</t>
        </is>
      </c>
      <c r="B365" s="41" t="inlineStr">
        <is>
          <t>Users &amp; Staff</t>
        </is>
      </c>
      <c r="C365" s="41" t="inlineStr">
        <is>
          <t>Employee numbers back-filled</t>
        </is>
      </c>
      <c r="D365" s="41" t="inlineStr">
        <is>
          <t>Functional</t>
        </is>
      </c>
      <c r="E365" s="41" t="inlineStr">
        <is>
          <t>High</t>
        </is>
      </c>
      <c r="F365" s="41" t="inlineStr">
        <is>
          <t>Admin</t>
        </is>
      </c>
      <c r="G365" s="41" t="inlineStr">
        <is>
          <t>A copy of the database from before the back-fill migration, with staff that have no employee number and some that do</t>
        </is>
      </c>
      <c r="H365" s="41" t="inlineStr">
        <is>
          <t>Run the update; open Users &amp; Staff</t>
        </is>
      </c>
      <c r="I365" s="41" t="inlineStr">
        <is>
          <t>Every staff member and teacher has an employee number; old numbers are unchanged; new ones continue after the highest EMP-nnnn in order of creation; no duplicates</t>
        </is>
      </c>
      <c r="J365" s="42" t="n"/>
      <c r="K365" s="42" t="inlineStr">
        <is>
          <t>Not Run</t>
        </is>
      </c>
      <c r="L365" s="42" t="n"/>
      <c r="M365" s="43" t="n"/>
      <c r="N365" s="42" t="n"/>
      <c r="O365" s="42" t="n"/>
    </row>
    <row r="366" ht="15" customHeight="1" s="24">
      <c r="A366" s="41" t="inlineStr">
        <is>
          <t>USR-25</t>
        </is>
      </c>
      <c r="B366" s="41" t="inlineStr">
        <is>
          <t>Users &amp; Staff</t>
        </is>
      </c>
      <c r="C366" s="41" t="inlineStr">
        <is>
          <t>Employee numbers - simultaneous</t>
        </is>
      </c>
      <c r="D366" s="41" t="inlineStr">
        <is>
          <t>Exploratory</t>
        </is>
      </c>
      <c r="E366" s="41" t="inlineStr">
        <is>
          <t>Medium</t>
        </is>
      </c>
      <c r="F366" s="41" t="inlineStr">
        <is>
          <t>Admin</t>
        </is>
      </c>
      <c r="G366" s="41" t="inlineStr">
        <is>
          <t>Two Admins signed in on two computers</t>
        </is>
      </c>
      <c r="H366" s="41" t="inlineStr">
        <is>
          <t>Both create a staff account at the same moment, employee number blank</t>
        </is>
      </c>
      <c r="I366" s="41" t="inlineStr">
        <is>
          <t>Both succeed with different numbers (for example EMP-0007 and EMP-0008); no 'just taken' error</t>
        </is>
      </c>
      <c r="J366" s="42" t="n"/>
      <c r="K366" s="42" t="inlineStr">
        <is>
          <t>Not Run</t>
        </is>
      </c>
      <c r="L366" s="42" t="n"/>
      <c r="M366" s="43" t="n"/>
      <c r="N366" s="42" t="n"/>
      <c r="O366" s="42" t="n"/>
    </row>
    <row r="367" ht="15" customHeight="1" s="24">
      <c r="A367" s="41" t="inlineStr">
        <is>
          <t>SET-10</t>
        </is>
      </c>
      <c r="B367" s="41" t="inlineStr">
        <is>
          <t>School Settings</t>
        </is>
      </c>
      <c r="C367" s="41" t="inlineStr">
        <is>
          <t>Masters menu</t>
        </is>
      </c>
      <c r="D367" s="41" t="inlineStr">
        <is>
          <t>Functional</t>
        </is>
      </c>
      <c r="E367" s="41" t="inlineStr">
        <is>
          <t>High</t>
        </is>
      </c>
      <c r="F367" s="41" t="inlineStr">
        <is>
          <t>Admin</t>
        </is>
      </c>
      <c r="G367" s="41" t="inlineStr">
        <is>
          <t>None</t>
        </is>
      </c>
      <c r="H367" s="41" t="inlineStr">
        <is>
          <t>Look at the sidebar Overview section; open Masters</t>
        </is>
      </c>
      <c r="I367" s="41" t="inlineStr">
        <is>
          <t>Masters is listed; the hub shows an Admission fees card; opening it shows the fees page</t>
        </is>
      </c>
      <c r="J367" s="42" t="n"/>
      <c r="K367" s="42" t="inlineStr">
        <is>
          <t>Not Run</t>
        </is>
      </c>
      <c r="L367" s="42" t="n"/>
      <c r="M367" s="43" t="n"/>
      <c r="N367" s="42" t="n"/>
      <c r="O367" s="42" t="n"/>
    </row>
    <row r="368" ht="15" customHeight="1" s="24">
      <c r="A368" s="41" t="inlineStr">
        <is>
          <t>SET-11</t>
        </is>
      </c>
      <c r="B368" s="41" t="inlineStr">
        <is>
          <t>School Settings</t>
        </is>
      </c>
      <c r="C368" s="41" t="inlineStr">
        <is>
          <t>Admission fees - list</t>
        </is>
      </c>
      <c r="D368" s="41" t="inlineStr">
        <is>
          <t>Functional</t>
        </is>
      </c>
      <c r="E368" s="41" t="inlineStr">
        <is>
          <t>Medium</t>
        </is>
      </c>
      <c r="F368" s="41" t="inlineStr">
        <is>
          <t>Admin</t>
        </is>
      </c>
      <c r="G368" s="41" t="inlineStr">
        <is>
          <t>Classes exist in several sections and years</t>
        </is>
      </c>
      <c r="H368" s="41" t="inlineStr">
        <is>
          <t>Open Masters &gt; Admission fees</t>
        </is>
      </c>
      <c r="I368" s="41" t="inlineStr">
        <is>
          <t>Each class NAME appears once (not per section or year), with its fee or 'Not set'</t>
        </is>
      </c>
      <c r="J368" s="42" t="n"/>
      <c r="K368" s="42" t="inlineStr">
        <is>
          <t>Not Run</t>
        </is>
      </c>
      <c r="L368" s="42" t="n"/>
      <c r="M368" s="43" t="n"/>
      <c r="N368" s="42" t="n"/>
      <c r="O368" s="42" t="n"/>
    </row>
    <row r="369" ht="15" customHeight="1" s="24">
      <c r="A369" s="41" t="inlineStr">
        <is>
          <t>SET-12</t>
        </is>
      </c>
      <c r="B369" s="41" t="inlineStr">
        <is>
          <t>School Settings</t>
        </is>
      </c>
      <c r="C369" s="41" t="inlineStr">
        <is>
          <t>Admission fees - set</t>
        </is>
      </c>
      <c r="D369" s="41" t="inlineStr">
        <is>
          <t>Validation</t>
        </is>
      </c>
      <c r="E369" s="41" t="inlineStr">
        <is>
          <t>High</t>
        </is>
      </c>
      <c r="F369" s="41" t="inlineStr">
        <is>
          <t>Admin</t>
        </is>
      </c>
      <c r="G369" s="41" t="inlineStr">
        <is>
          <t>None</t>
        </is>
      </c>
      <c r="H369" s="41" t="inlineStr">
        <is>
          <t>Set 'ZT Class A' to 500; then 250.456; then -1; then 1000001</t>
        </is>
      </c>
      <c r="I369" s="41" t="inlineStr">
        <is>
          <t>500 saved; 250.456 saved as 250.46; -1 and 1,000,001 refused with a field error</t>
        </is>
      </c>
      <c r="J369" s="42" t="n"/>
      <c r="K369" s="42" t="inlineStr">
        <is>
          <t>Not Run</t>
        </is>
      </c>
      <c r="L369" s="42" t="n"/>
      <c r="M369" s="43" t="n"/>
      <c r="N369" s="42" t="n"/>
      <c r="O369" s="42" t="n"/>
    </row>
    <row r="370" ht="15" customHeight="1" s="24">
      <c r="A370" s="41" t="inlineStr">
        <is>
          <t>SET-13</t>
        </is>
      </c>
      <c r="B370" s="41" t="inlineStr">
        <is>
          <t>School Settings</t>
        </is>
      </c>
      <c r="C370" s="41" t="inlineStr">
        <is>
          <t>Admission fees - clear</t>
        </is>
      </c>
      <c r="D370" s="41" t="inlineStr">
        <is>
          <t>Functional</t>
        </is>
      </c>
      <c r="E370" s="41" t="inlineStr">
        <is>
          <t>Medium</t>
        </is>
      </c>
      <c r="F370" s="41" t="inlineStr">
        <is>
          <t>Admin</t>
        </is>
      </c>
      <c r="G370" s="41" t="inlineStr">
        <is>
          <t>A class with a fee</t>
        </is>
      </c>
      <c r="H370" s="41" t="inlineStr">
        <is>
          <t>Clear the fee</t>
        </is>
      </c>
      <c r="I370" s="41" t="inlineStr">
        <is>
          <t>The class shows 'Not set'; Confirm Admission for that class no longer pre-fills a fee</t>
        </is>
      </c>
      <c r="J370" s="42" t="n"/>
      <c r="K370" s="42" t="inlineStr">
        <is>
          <t>Not Run</t>
        </is>
      </c>
      <c r="L370" s="42" t="n"/>
      <c r="M370" s="43" t="n"/>
      <c r="N370" s="42" t="n"/>
      <c r="O370" s="42" t="n"/>
    </row>
    <row r="371" ht="15" customHeight="1" s="24">
      <c r="A371" s="41" t="inlineStr">
        <is>
          <t>SET-14</t>
        </is>
      </c>
      <c r="B371" s="41" t="inlineStr">
        <is>
          <t>School Settings</t>
        </is>
      </c>
      <c r="C371" s="41" t="inlineStr">
        <is>
          <t>Masters - permissions</t>
        </is>
      </c>
      <c r="D371" s="41" t="inlineStr">
        <is>
          <t>Security</t>
        </is>
      </c>
      <c r="E371" s="41" t="inlineStr">
        <is>
          <t>High</t>
        </is>
      </c>
      <c r="F371" s="41" t="inlineStr">
        <is>
          <t>Role with Settings.View only</t>
        </is>
      </c>
      <c r="G371" s="41" t="inlineStr">
        <is>
          <t>None</t>
        </is>
      </c>
      <c r="H371" s="41" t="inlineStr">
        <is>
          <t>Open Masters &gt; Admission fees; try to change a fee (or PUT /api/admission-fees/{class} in Swagger)</t>
        </is>
      </c>
      <c r="I371" s="41" t="inlineStr">
        <is>
          <t>Fees can be read but not changed: no way to save in the UI and the API answers 403; a user without Settings.View does not see Masters</t>
        </is>
      </c>
      <c r="J371" s="42" t="n"/>
      <c r="K371" s="42" t="inlineStr">
        <is>
          <t>Not Run</t>
        </is>
      </c>
      <c r="L371" s="42" t="n"/>
      <c r="M371" s="43" t="n"/>
      <c r="N371" s="42" t="n"/>
      <c r="O371" s="42" t="n"/>
    </row>
    <row r="372" ht="15" customHeight="1" s="24">
      <c r="A372" s="41" t="inlineStr">
        <is>
          <t>TIM-01</t>
        </is>
      </c>
      <c r="B372" s="41" t="inlineStr">
        <is>
          <t>Timetable</t>
        </is>
      </c>
      <c r="C372" s="41" t="inlineStr">
        <is>
          <t>Access</t>
        </is>
      </c>
      <c r="D372" s="41" t="inlineStr">
        <is>
          <t>Functional</t>
        </is>
      </c>
      <c r="E372" s="41" t="inlineStr">
        <is>
          <t>High</t>
        </is>
      </c>
      <c r="F372" s="41" t="inlineStr">
        <is>
          <t>Admin</t>
        </is>
      </c>
      <c r="G372" s="41" t="inlineStr">
        <is>
          <t>Current academic year exists</t>
        </is>
      </c>
      <c r="H372" s="41" t="inlineStr">
        <is>
          <t>Click Timetable in the sidebar</t>
        </is>
      </c>
      <c r="I372" s="41" t="inlineStr">
        <is>
          <t>Page opens (item is built). Tabs: Class timetable, Teacher timetable, Periods. Year drop-down defaults to the current year</t>
        </is>
      </c>
      <c r="J372" s="42" t="n"/>
      <c r="K372" s="42" t="inlineStr">
        <is>
          <t>Not Run</t>
        </is>
      </c>
      <c r="L372" s="42" t="n"/>
      <c r="M372" s="43" t="n"/>
      <c r="N372" s="42" t="n"/>
      <c r="O372" s="42" t="n"/>
    </row>
    <row r="373" ht="15" customHeight="1" s="24">
      <c r="A373" s="41" t="inlineStr">
        <is>
          <t>TIM-02</t>
        </is>
      </c>
      <c r="B373" s="41" t="inlineStr">
        <is>
          <t>Timetable</t>
        </is>
      </c>
      <c r="C373" s="41" t="inlineStr">
        <is>
          <t>Periods - add</t>
        </is>
      </c>
      <c r="D373" s="41" t="inlineStr">
        <is>
          <t>Functional</t>
        </is>
      </c>
      <c r="E373" s="41" t="inlineStr">
        <is>
          <t>High</t>
        </is>
      </c>
      <c r="F373" s="41" t="inlineStr">
        <is>
          <t>Admin</t>
        </is>
      </c>
      <c r="G373" s="41" t="inlineStr">
        <is>
          <t>Current year has no periods</t>
        </is>
      </c>
      <c r="H373" s="41" t="inlineStr">
        <is>
          <t>Periods tab &gt; Add: Period 1, 08:00-08:45, Teaching, order 1</t>
        </is>
      </c>
      <c r="I373" s="41" t="inlineStr">
        <is>
          <t>Saved; row shows 08:00-08:45, Teaching, 0 lessons</t>
        </is>
      </c>
      <c r="J373" s="42" t="n"/>
      <c r="K373" s="42" t="inlineStr">
        <is>
          <t>Not Run</t>
        </is>
      </c>
      <c r="L373" s="42" t="n"/>
      <c r="M373" s="43" t="n"/>
      <c r="N373" s="42" t="n"/>
      <c r="O373" s="42" t="n"/>
    </row>
    <row r="374" ht="15" customHeight="1" s="24">
      <c r="A374" s="41" t="inlineStr">
        <is>
          <t>TIM-03</t>
        </is>
      </c>
      <c r="B374" s="41" t="inlineStr">
        <is>
          <t>Timetable</t>
        </is>
      </c>
      <c r="C374" s="41" t="inlineStr">
        <is>
          <t>Periods - add</t>
        </is>
      </c>
      <c r="D374" s="41" t="inlineStr">
        <is>
          <t>Functional</t>
        </is>
      </c>
      <c r="E374" s="41" t="inlineStr">
        <is>
          <t>Medium</t>
        </is>
      </c>
      <c r="F374" s="41" t="inlineStr">
        <is>
          <t>Admin</t>
        </is>
      </c>
      <c r="G374" s="41" t="inlineStr">
        <is>
          <t>Period 1 exists</t>
        </is>
      </c>
      <c r="H374" s="41" t="inlineStr">
        <is>
          <t>Add 'Break', 10:00-10:20, type Break, order 4</t>
        </is>
      </c>
      <c r="I374" s="41" t="inlineStr">
        <is>
          <t>Saved as a Break; in the grid it is one wide row with no lesson cells</t>
        </is>
      </c>
      <c r="J374" s="42" t="n"/>
      <c r="K374" s="42" t="inlineStr">
        <is>
          <t>Not Run</t>
        </is>
      </c>
      <c r="L374" s="42" t="n"/>
      <c r="M374" s="43" t="n"/>
      <c r="N374" s="42" t="n"/>
      <c r="O374" s="42" t="n"/>
    </row>
    <row r="375" ht="15" customHeight="1" s="24">
      <c r="A375" s="41" t="inlineStr">
        <is>
          <t>TIM-04</t>
        </is>
      </c>
      <c r="B375" s="41" t="inlineStr">
        <is>
          <t>Timetable</t>
        </is>
      </c>
      <c r="C375" s="41" t="inlineStr">
        <is>
          <t>Periods - add</t>
        </is>
      </c>
      <c r="D375" s="41" t="inlineStr">
        <is>
          <t>Validation</t>
        </is>
      </c>
      <c r="E375" s="41" t="inlineStr">
        <is>
          <t>High</t>
        </is>
      </c>
      <c r="F375" s="41" t="inlineStr">
        <is>
          <t>Admin</t>
        </is>
      </c>
      <c r="G375" s="41" t="n"/>
      <c r="H375" s="41" t="inlineStr">
        <is>
          <t>Try: empty name; name over 50 characters; end time before start; order 0; order 31</t>
        </is>
      </c>
      <c r="I375" s="41" t="inlineStr">
        <is>
          <t>Each refused with its own message; nothing saved</t>
        </is>
      </c>
      <c r="J375" s="42" t="n"/>
      <c r="K375" s="42" t="inlineStr">
        <is>
          <t>Not Run</t>
        </is>
      </c>
      <c r="L375" s="42" t="n"/>
      <c r="M375" s="43" t="n"/>
      <c r="N375" s="42" t="n"/>
      <c r="O375" s="42" t="n"/>
    </row>
    <row r="376" ht="15" customHeight="1" s="24">
      <c r="A376" s="41" t="inlineStr">
        <is>
          <t>TIM-05</t>
        </is>
      </c>
      <c r="B376" s="41" t="inlineStr">
        <is>
          <t>Timetable</t>
        </is>
      </c>
      <c r="C376" s="41" t="inlineStr">
        <is>
          <t>Periods - add</t>
        </is>
      </c>
      <c r="D376" s="41" t="inlineStr">
        <is>
          <t>Negative</t>
        </is>
      </c>
      <c r="E376" s="41" t="inlineStr">
        <is>
          <t>High</t>
        </is>
      </c>
      <c r="F376" s="41" t="inlineStr">
        <is>
          <t>Admin</t>
        </is>
      </c>
      <c r="G376" s="41" t="inlineStr">
        <is>
          <t>Period 1 = 08:00-08:45</t>
        </is>
      </c>
      <c r="H376" s="41" t="inlineStr">
        <is>
          <t>Add a period 08:30-09:15</t>
        </is>
      </c>
      <c r="I376" s="41" t="inlineStr">
        <is>
          <t>Refused: overlaps 'Period 1' (08:00-08:45)</t>
        </is>
      </c>
      <c r="J376" s="42" t="n"/>
      <c r="K376" s="42" t="inlineStr">
        <is>
          <t>Not Run</t>
        </is>
      </c>
      <c r="L376" s="42" t="n"/>
      <c r="M376" s="43" t="n"/>
      <c r="N376" s="42" t="n"/>
      <c r="O376" s="42" t="n"/>
    </row>
    <row r="377" ht="15" customHeight="1" s="24">
      <c r="A377" s="41" t="inlineStr">
        <is>
          <t>TIM-06</t>
        </is>
      </c>
      <c r="B377" s="41" t="inlineStr">
        <is>
          <t>Timetable</t>
        </is>
      </c>
      <c r="C377" s="41" t="inlineStr">
        <is>
          <t>Periods - add</t>
        </is>
      </c>
      <c r="D377" s="41" t="inlineStr">
        <is>
          <t>Functional</t>
        </is>
      </c>
      <c r="E377" s="41" t="inlineStr">
        <is>
          <t>Medium</t>
        </is>
      </c>
      <c r="F377" s="41" t="inlineStr">
        <is>
          <t>Admin</t>
        </is>
      </c>
      <c r="G377" s="41" t="inlineStr">
        <is>
          <t>Period 1 = 08:00-08:45</t>
        </is>
      </c>
      <c r="H377" s="41" t="inlineStr">
        <is>
          <t>Add 'Period 2' 08:45-09:30, order 2</t>
        </is>
      </c>
      <c r="I377" s="41" t="inlineStr">
        <is>
          <t>Allowed: back-to-back periods do not overlap</t>
        </is>
      </c>
      <c r="J377" s="42" t="n"/>
      <c r="K377" s="42" t="inlineStr">
        <is>
          <t>Not Run</t>
        </is>
      </c>
      <c r="L377" s="42" t="n"/>
      <c r="M377" s="43" t="n"/>
      <c r="N377" s="42" t="n"/>
      <c r="O377" s="42" t="n"/>
    </row>
    <row r="378" ht="15" customHeight="1" s="24">
      <c r="A378" s="41" t="inlineStr">
        <is>
          <t>TIM-07</t>
        </is>
      </c>
      <c r="B378" s="41" t="inlineStr">
        <is>
          <t>Timetable</t>
        </is>
      </c>
      <c r="C378" s="41" t="inlineStr">
        <is>
          <t>Periods - add</t>
        </is>
      </c>
      <c r="D378" s="41" t="inlineStr">
        <is>
          <t>Negative</t>
        </is>
      </c>
      <c r="E378" s="41" t="inlineStr">
        <is>
          <t>High</t>
        </is>
      </c>
      <c r="F378" s="41" t="inlineStr">
        <is>
          <t>Admin</t>
        </is>
      </c>
      <c r="G378" s="41" t="inlineStr">
        <is>
          <t>Period 1 exists</t>
        </is>
      </c>
      <c r="H378" s="41" t="inlineStr">
        <is>
          <t>Add a period named 'period 1' (different case) at a free time and free order</t>
        </is>
      </c>
      <c r="I378" s="41" t="inlineStr">
        <is>
          <t>Refused: a period with that name already exists in this year</t>
        </is>
      </c>
      <c r="J378" s="42" t="n"/>
      <c r="K378" s="42" t="inlineStr">
        <is>
          <t>Not Run</t>
        </is>
      </c>
      <c r="L378" s="42" t="n"/>
      <c r="M378" s="43" t="n"/>
      <c r="N378" s="42" t="n"/>
      <c r="O378" s="42" t="n"/>
    </row>
    <row r="379" ht="15" customHeight="1" s="24">
      <c r="A379" s="41" t="inlineStr">
        <is>
          <t>TIM-08</t>
        </is>
      </c>
      <c r="B379" s="41" t="inlineStr">
        <is>
          <t>Timetable</t>
        </is>
      </c>
      <c r="C379" s="41" t="inlineStr">
        <is>
          <t>Periods - add</t>
        </is>
      </c>
      <c r="D379" s="41" t="inlineStr">
        <is>
          <t>Negative</t>
        </is>
      </c>
      <c r="E379" s="41" t="inlineStr">
        <is>
          <t>Medium</t>
        </is>
      </c>
      <c r="F379" s="41" t="inlineStr">
        <is>
          <t>Admin</t>
        </is>
      </c>
      <c r="G379" s="41" t="inlineStr">
        <is>
          <t>Period 1 has order 1</t>
        </is>
      </c>
      <c r="H379" s="41" t="inlineStr">
        <is>
          <t>Add a new period at a free time using order 1</t>
        </is>
      </c>
      <c r="I379" s="41" t="inlineStr">
        <is>
          <t>Refused: order 1 is already used by 'Period 1'</t>
        </is>
      </c>
      <c r="J379" s="42" t="n"/>
      <c r="K379" s="42" t="inlineStr">
        <is>
          <t>Not Run</t>
        </is>
      </c>
      <c r="L379" s="42" t="n"/>
      <c r="M379" s="43" t="n"/>
      <c r="N379" s="42" t="n"/>
      <c r="O379" s="42" t="n"/>
    </row>
    <row r="380" ht="15" customHeight="1" s="24">
      <c r="A380" s="41" t="inlineStr">
        <is>
          <t>TIM-09</t>
        </is>
      </c>
      <c r="B380" s="41" t="inlineStr">
        <is>
          <t>Timetable</t>
        </is>
      </c>
      <c r="C380" s="41" t="inlineStr">
        <is>
          <t>Periods - edit</t>
        </is>
      </c>
      <c r="D380" s="41" t="inlineStr">
        <is>
          <t>Functional</t>
        </is>
      </c>
      <c r="E380" s="41" t="inlineStr">
        <is>
          <t>Medium</t>
        </is>
      </c>
      <c r="F380" s="41" t="inlineStr">
        <is>
          <t>Admin</t>
        </is>
      </c>
      <c r="G380" s="41" t="inlineStr">
        <is>
          <t>Period with lessons</t>
        </is>
      </c>
      <c r="H380" s="41" t="inlineStr">
        <is>
          <t>Edit its times (keep Teaching) and save</t>
        </is>
      </c>
      <c r="I380" s="41" t="inlineStr">
        <is>
          <t>Saved; its lessons stay in the grid at the new times</t>
        </is>
      </c>
      <c r="J380" s="42" t="n"/>
      <c r="K380" s="42" t="inlineStr">
        <is>
          <t>Not Run</t>
        </is>
      </c>
      <c r="L380" s="42" t="n"/>
      <c r="M380" s="43" t="n"/>
      <c r="N380" s="42" t="n"/>
      <c r="O380" s="42" t="n"/>
    </row>
    <row r="381" ht="15" customHeight="1" s="24">
      <c r="A381" s="41" t="inlineStr">
        <is>
          <t>TIM-10</t>
        </is>
      </c>
      <c r="B381" s="41" t="inlineStr">
        <is>
          <t>Timetable</t>
        </is>
      </c>
      <c r="C381" s="41" t="inlineStr">
        <is>
          <t>Periods - edit</t>
        </is>
      </c>
      <c r="D381" s="41" t="inlineStr">
        <is>
          <t>Negative</t>
        </is>
      </c>
      <c r="E381" s="41" t="inlineStr">
        <is>
          <t>Medium</t>
        </is>
      </c>
      <c r="F381" s="41" t="inlineStr">
        <is>
          <t>Admin</t>
        </is>
      </c>
      <c r="G381" s="41" t="inlineStr">
        <is>
          <t>Same period open in two browser tabs</t>
        </is>
      </c>
      <c r="H381" s="41" t="inlineStr">
        <is>
          <t>Save a change in tab 1, then save a change in tab 2 without reloading</t>
        </is>
      </c>
      <c r="I381" s="41" t="inlineStr">
        <is>
          <t>Tab 2 is refused with a conflict message (changed by someone else); reload shows tab 1's values</t>
        </is>
      </c>
      <c r="J381" s="42" t="n"/>
      <c r="K381" s="42" t="inlineStr">
        <is>
          <t>Not Run</t>
        </is>
      </c>
      <c r="L381" s="42" t="n"/>
      <c r="M381" s="43" t="n"/>
      <c r="N381" s="42" t="n"/>
      <c r="O381" s="42" t="n"/>
    </row>
    <row r="382" ht="15" customHeight="1" s="24">
      <c r="A382" s="41" t="inlineStr">
        <is>
          <t>TIM-11</t>
        </is>
      </c>
      <c r="B382" s="41" t="inlineStr">
        <is>
          <t>Timetable</t>
        </is>
      </c>
      <c r="C382" s="41" t="inlineStr">
        <is>
          <t>Periods - edit</t>
        </is>
      </c>
      <c r="D382" s="41" t="inlineStr">
        <is>
          <t>Negative</t>
        </is>
      </c>
      <c r="E382" s="41" t="inlineStr">
        <is>
          <t>High</t>
        </is>
      </c>
      <c r="F382" s="41" t="inlineStr">
        <is>
          <t>Admin</t>
        </is>
      </c>
      <c r="G382" s="41" t="inlineStr">
        <is>
          <t>Period 1 holds at least one lesson</t>
        </is>
      </c>
      <c r="H382" s="41" t="inlineStr">
        <is>
          <t>Edit Period 1 and change type to Break</t>
        </is>
      </c>
      <c r="I382" s="41" t="inlineStr">
        <is>
          <t>Refused: has N lesson(s) and cannot become a break. Clear them first</t>
        </is>
      </c>
      <c r="J382" s="42" t="n"/>
      <c r="K382" s="42" t="inlineStr">
        <is>
          <t>Not Run</t>
        </is>
      </c>
      <c r="L382" s="42" t="n"/>
      <c r="M382" s="43" t="n"/>
      <c r="N382" s="42" t="n"/>
      <c r="O382" s="42" t="n"/>
    </row>
    <row r="383" ht="15" customHeight="1" s="24">
      <c r="A383" s="41" t="inlineStr">
        <is>
          <t>TIM-12</t>
        </is>
      </c>
      <c r="B383" s="41" t="inlineStr">
        <is>
          <t>Timetable</t>
        </is>
      </c>
      <c r="C383" s="41" t="inlineStr">
        <is>
          <t>Periods - delete</t>
        </is>
      </c>
      <c r="D383" s="41" t="inlineStr">
        <is>
          <t>Functional</t>
        </is>
      </c>
      <c r="E383" s="41" t="inlineStr">
        <is>
          <t>Medium</t>
        </is>
      </c>
      <c r="F383" s="41" t="inlineStr">
        <is>
          <t>Admin</t>
        </is>
      </c>
      <c r="G383" s="41" t="inlineStr">
        <is>
          <t>Period with 0 lessons</t>
        </is>
      </c>
      <c r="H383" s="41" t="inlineStr">
        <is>
          <t>Delete it and confirm</t>
        </is>
      </c>
      <c r="I383" s="41" t="inlineStr">
        <is>
          <t>Removed from the list; its name and order can be used again</t>
        </is>
      </c>
      <c r="J383" s="42" t="n"/>
      <c r="K383" s="42" t="inlineStr">
        <is>
          <t>Not Run</t>
        </is>
      </c>
      <c r="L383" s="42" t="n"/>
      <c r="M383" s="43" t="n"/>
      <c r="N383" s="42" t="n"/>
      <c r="O383" s="42" t="n"/>
    </row>
    <row r="384" ht="15" customHeight="1" s="24">
      <c r="A384" s="41" t="inlineStr">
        <is>
          <t>TIM-13</t>
        </is>
      </c>
      <c r="B384" s="41" t="inlineStr">
        <is>
          <t>Timetable</t>
        </is>
      </c>
      <c r="C384" s="41" t="inlineStr">
        <is>
          <t>Periods - delete</t>
        </is>
      </c>
      <c r="D384" s="41" t="inlineStr">
        <is>
          <t>Negative</t>
        </is>
      </c>
      <c r="E384" s="41" t="inlineStr">
        <is>
          <t>High</t>
        </is>
      </c>
      <c r="F384" s="41" t="inlineStr">
        <is>
          <t>Admin</t>
        </is>
      </c>
      <c r="G384" s="41" t="inlineStr">
        <is>
          <t>Period with lessons</t>
        </is>
      </c>
      <c r="H384" s="41" t="inlineStr">
        <is>
          <t>Look for Delete on that row. Also call DELETE /api/timetable/periods/{id} in Swagger</t>
        </is>
      </c>
      <c r="I384" s="41" t="inlineStr">
        <is>
          <t>No Delete button in the UI; API answers 409 used by N lesson(s)</t>
        </is>
      </c>
      <c r="J384" s="42" t="n"/>
      <c r="K384" s="42" t="inlineStr">
        <is>
          <t>Not Run</t>
        </is>
      </c>
      <c r="L384" s="42" t="n"/>
      <c r="M384" s="43" t="n"/>
      <c r="N384" s="42" t="n"/>
      <c r="O384" s="42" t="n"/>
    </row>
    <row r="385" ht="15" customHeight="1" s="24">
      <c r="A385" s="41" t="inlineStr">
        <is>
          <t>TIM-14</t>
        </is>
      </c>
      <c r="B385" s="41" t="inlineStr">
        <is>
          <t>Timetable</t>
        </is>
      </c>
      <c r="C385" s="41" t="inlineStr">
        <is>
          <t>Periods - years</t>
        </is>
      </c>
      <c r="D385" s="41" t="inlineStr">
        <is>
          <t>Functional</t>
        </is>
      </c>
      <c r="E385" s="41" t="inlineStr">
        <is>
          <t>Low</t>
        </is>
      </c>
      <c r="F385" s="41" t="inlineStr">
        <is>
          <t>Admin</t>
        </is>
      </c>
      <c r="G385" s="41" t="inlineStr">
        <is>
          <t>A second academic year exists</t>
        </is>
      </c>
      <c r="H385" s="41" t="inlineStr">
        <is>
          <t>Switch the year drop-down</t>
        </is>
      </c>
      <c r="I385" s="41" t="inlineStr">
        <is>
          <t>Periods list changes to that year's periods (each year has its own set)</t>
        </is>
      </c>
      <c r="J385" s="42" t="n"/>
      <c r="K385" s="42" t="inlineStr">
        <is>
          <t>Not Run</t>
        </is>
      </c>
      <c r="L385" s="42" t="n"/>
      <c r="M385" s="43" t="n"/>
      <c r="N385" s="42" t="n"/>
      <c r="O385" s="42" t="n"/>
    </row>
    <row r="386" ht="15" customHeight="1" s="24">
      <c r="A386" s="41" t="inlineStr">
        <is>
          <t>TIM-15</t>
        </is>
      </c>
      <c r="B386" s="41" t="inlineStr">
        <is>
          <t>Timetable</t>
        </is>
      </c>
      <c r="C386" s="41" t="inlineStr">
        <is>
          <t>Class timetable - grid</t>
        </is>
      </c>
      <c r="D386" s="41" t="inlineStr">
        <is>
          <t>Functional</t>
        </is>
      </c>
      <c r="E386" s="41" t="inlineStr">
        <is>
          <t>High</t>
        </is>
      </c>
      <c r="F386" s="41" t="inlineStr">
        <is>
          <t>Admin</t>
        </is>
      </c>
      <c r="G386" s="41" t="inlineStr">
        <is>
          <t>Periods set up; ZT Class A exists</t>
        </is>
      </c>
      <c r="H386" s="41" t="inlineStr">
        <is>
          <t>Class timetable tab &gt; choose ZT Class A</t>
        </is>
      </c>
      <c r="I386" s="41" t="inlineStr">
        <is>
          <t>Grid shows the school's working days as columns (Monday first) and the periods as rows; the break is one wide row</t>
        </is>
      </c>
      <c r="J386" s="42" t="n"/>
      <c r="K386" s="42" t="inlineStr">
        <is>
          <t>Not Run</t>
        </is>
      </c>
      <c r="L386" s="42" t="n"/>
      <c r="M386" s="43" t="n"/>
      <c r="N386" s="42" t="n"/>
      <c r="O386" s="42" t="n"/>
    </row>
    <row r="387" ht="15" customHeight="1" s="24">
      <c r="A387" s="41" t="inlineStr">
        <is>
          <t>TIM-16</t>
        </is>
      </c>
      <c r="B387" s="41" t="inlineStr">
        <is>
          <t>Timetable</t>
        </is>
      </c>
      <c r="C387" s="41" t="inlineStr">
        <is>
          <t>Class timetable - lessons</t>
        </is>
      </c>
      <c r="D387" s="41" t="inlineStr">
        <is>
          <t>Functional</t>
        </is>
      </c>
      <c r="E387" s="41" t="inlineStr">
        <is>
          <t>High</t>
        </is>
      </c>
      <c r="F387" s="41" t="inlineStr">
        <is>
          <t>Admin</t>
        </is>
      </c>
      <c r="G387" s="41" t="inlineStr">
        <is>
          <t>ZT Math in Class A with teacher zt.teacher1</t>
        </is>
      </c>
      <c r="H387" s="41" t="inlineStr">
        <is>
          <t>Click Monday / Period 1 &gt; choose ZT Math &gt; Save</t>
        </is>
      </c>
      <c r="I387" s="41" t="inlineStr">
        <is>
          <t>Lesson shows subject and teacher name; room shows the class's own room as fallback</t>
        </is>
      </c>
      <c r="J387" s="42" t="n"/>
      <c r="K387" s="42" t="inlineStr">
        <is>
          <t>Not Run</t>
        </is>
      </c>
      <c r="L387" s="42" t="n"/>
      <c r="M387" s="43" t="n"/>
      <c r="N387" s="42" t="n"/>
      <c r="O387" s="42" t="n"/>
    </row>
    <row r="388" ht="15" customHeight="1" s="24">
      <c r="A388" s="41" t="inlineStr">
        <is>
          <t>TIM-17</t>
        </is>
      </c>
      <c r="B388" s="41" t="inlineStr">
        <is>
          <t>Timetable</t>
        </is>
      </c>
      <c r="C388" s="41" t="inlineStr">
        <is>
          <t>Class timetable - lessons</t>
        </is>
      </c>
      <c r="D388" s="41" t="inlineStr">
        <is>
          <t>Validation</t>
        </is>
      </c>
      <c r="E388" s="41" t="inlineStr">
        <is>
          <t>Medium</t>
        </is>
      </c>
      <c r="F388" s="41" t="inlineStr">
        <is>
          <t>Admin</t>
        </is>
      </c>
      <c r="G388" s="41" t="n"/>
      <c r="H388" s="41" t="inlineStr">
        <is>
          <t>Type a room of 30 characters, then 31 characters</t>
        </is>
      </c>
      <c r="I388" s="41" t="inlineStr">
        <is>
          <t>30 accepted and shown; 31 refused</t>
        </is>
      </c>
      <c r="J388" s="42" t="n"/>
      <c r="K388" s="42" t="inlineStr">
        <is>
          <t>Not Run</t>
        </is>
      </c>
      <c r="L388" s="42" t="n"/>
      <c r="M388" s="43" t="n"/>
      <c r="N388" s="42" t="n"/>
      <c r="O388" s="42" t="n"/>
    </row>
    <row r="389" ht="15" customHeight="1" s="24">
      <c r="A389" s="41" t="inlineStr">
        <is>
          <t>TIM-18</t>
        </is>
      </c>
      <c r="B389" s="41" t="inlineStr">
        <is>
          <t>Timetable</t>
        </is>
      </c>
      <c r="C389" s="41" t="inlineStr">
        <is>
          <t>Class timetable - lessons</t>
        </is>
      </c>
      <c r="D389" s="41" t="inlineStr">
        <is>
          <t>Functional</t>
        </is>
      </c>
      <c r="E389" s="41" t="inlineStr">
        <is>
          <t>Medium</t>
        </is>
      </c>
      <c r="F389" s="41" t="inlineStr">
        <is>
          <t>Admin</t>
        </is>
      </c>
      <c r="G389" s="41" t="inlineStr">
        <is>
          <t>A lesson exists</t>
        </is>
      </c>
      <c r="H389" s="41" t="inlineStr">
        <is>
          <t>Click the cell, choose another subject, Save</t>
        </is>
      </c>
      <c r="I389" s="41" t="inlineStr">
        <is>
          <t>Lesson replaced (still one lesson in that cell)</t>
        </is>
      </c>
      <c r="J389" s="42" t="n"/>
      <c r="K389" s="42" t="inlineStr">
        <is>
          <t>Not Run</t>
        </is>
      </c>
      <c r="L389" s="42" t="n"/>
      <c r="M389" s="43" t="n"/>
      <c r="N389" s="42" t="n"/>
      <c r="O389" s="42" t="n"/>
    </row>
    <row r="390" ht="15" customHeight="1" s="24">
      <c r="A390" s="41" t="inlineStr">
        <is>
          <t>TIM-19</t>
        </is>
      </c>
      <c r="B390" s="41" t="inlineStr">
        <is>
          <t>Timetable</t>
        </is>
      </c>
      <c r="C390" s="41" t="inlineStr">
        <is>
          <t>Class timetable - lessons</t>
        </is>
      </c>
      <c r="D390" s="41" t="inlineStr">
        <is>
          <t>Functional</t>
        </is>
      </c>
      <c r="E390" s="41" t="inlineStr">
        <is>
          <t>Medium</t>
        </is>
      </c>
      <c r="F390" s="41" t="inlineStr">
        <is>
          <t>Admin</t>
        </is>
      </c>
      <c r="G390" s="41" t="inlineStr">
        <is>
          <t>A lesson exists</t>
        </is>
      </c>
      <c r="H390" s="41" t="inlineStr">
        <is>
          <t>Open the cell &gt; Clear lesson &gt; Cancel the confirm; then Clear again and confirm</t>
        </is>
      </c>
      <c r="I390" s="41" t="inlineStr">
        <is>
          <t>Cancel keeps the lesson; confirm removes it</t>
        </is>
      </c>
      <c r="J390" s="42" t="n"/>
      <c r="K390" s="42" t="inlineStr">
        <is>
          <t>Not Run</t>
        </is>
      </c>
      <c r="L390" s="42" t="n"/>
      <c r="M390" s="43" t="n"/>
      <c r="N390" s="42" t="n"/>
      <c r="O390" s="42" t="n"/>
    </row>
    <row r="391" ht="15" customHeight="1" s="24">
      <c r="A391" s="41" t="inlineStr">
        <is>
          <t>TIM-20</t>
        </is>
      </c>
      <c r="B391" s="41" t="inlineStr">
        <is>
          <t>Timetable</t>
        </is>
      </c>
      <c r="C391" s="41" t="inlineStr">
        <is>
          <t>Class timetable - lessons</t>
        </is>
      </c>
      <c r="D391" s="41" t="inlineStr">
        <is>
          <t>Functional</t>
        </is>
      </c>
      <c r="E391" s="41" t="inlineStr">
        <is>
          <t>Medium</t>
        </is>
      </c>
      <c r="F391" s="41" t="inlineStr">
        <is>
          <t>Admin</t>
        </is>
      </c>
      <c r="G391" s="41" t="inlineStr">
        <is>
          <t>Class A has an Active and an Inactive subject</t>
        </is>
      </c>
      <c r="H391" s="41" t="inlineStr">
        <is>
          <t>Open a cell and look at the subject list</t>
        </is>
      </c>
      <c r="I391" s="41" t="inlineStr">
        <is>
          <t>Only Active subjects of this class are listed</t>
        </is>
      </c>
      <c r="J391" s="42" t="n"/>
      <c r="K391" s="42" t="inlineStr">
        <is>
          <t>Not Run</t>
        </is>
      </c>
      <c r="L391" s="42" t="n"/>
      <c r="M391" s="43" t="n"/>
      <c r="N391" s="42" t="n"/>
      <c r="O391" s="42" t="n"/>
    </row>
    <row r="392" ht="15" customHeight="1" s="24">
      <c r="A392" s="41" t="inlineStr">
        <is>
          <t>TIM-21</t>
        </is>
      </c>
      <c r="B392" s="41" t="inlineStr">
        <is>
          <t>Timetable</t>
        </is>
      </c>
      <c r="C392" s="41" t="inlineStr">
        <is>
          <t>Class timetable - clash</t>
        </is>
      </c>
      <c r="D392" s="41" t="inlineStr">
        <is>
          <t>Negative</t>
        </is>
      </c>
      <c r="E392" s="41" t="inlineStr">
        <is>
          <t>High</t>
        </is>
      </c>
      <c r="F392" s="41" t="inlineStr">
        <is>
          <t>Admin</t>
        </is>
      </c>
      <c r="G392" s="41" t="inlineStr">
        <is>
          <t>zt.teacher1 teaches Math in Class A and Class B; Class A has Math Monday P1</t>
        </is>
      </c>
      <c r="H392" s="41" t="inlineStr">
        <is>
          <t>In Class B choose Monday / Period 1 &gt; ZT Math &gt; Save</t>
        </is>
      </c>
      <c r="I392" s="41" t="inlineStr">
        <is>
          <t>Refused: teacher already teaches Class A on Monday in Period 1; nothing saved</t>
        </is>
      </c>
      <c r="J392" s="42" t="n"/>
      <c r="K392" s="42" t="inlineStr">
        <is>
          <t>Not Run</t>
        </is>
      </c>
      <c r="L392" s="42" t="n"/>
      <c r="M392" s="43" t="n"/>
      <c r="N392" s="42" t="n"/>
      <c r="O392" s="42" t="n"/>
    </row>
    <row r="393" ht="15" customHeight="1" s="24">
      <c r="A393" s="41" t="inlineStr">
        <is>
          <t>TIM-22</t>
        </is>
      </c>
      <c r="B393" s="41" t="inlineStr">
        <is>
          <t>Timetable</t>
        </is>
      </c>
      <c r="C393" s="41" t="inlineStr">
        <is>
          <t>Class timetable - clash</t>
        </is>
      </c>
      <c r="D393" s="41" t="inlineStr">
        <is>
          <t>Functional</t>
        </is>
      </c>
      <c r="E393" s="41" t="inlineStr">
        <is>
          <t>High</t>
        </is>
      </c>
      <c r="F393" s="41" t="inlineStr">
        <is>
          <t>Admin</t>
        </is>
      </c>
      <c r="G393" s="41" t="inlineStr">
        <is>
          <t>Same as TIM-21</t>
        </is>
      </c>
      <c r="H393" s="41" t="inlineStr">
        <is>
          <t>In Class B put the same subject at Monday / Period 2</t>
        </is>
      </c>
      <c r="I393" s="41" t="inlineStr">
        <is>
          <t>Allowed (different period)</t>
        </is>
      </c>
      <c r="J393" s="42" t="n"/>
      <c r="K393" s="42" t="inlineStr">
        <is>
          <t>Not Run</t>
        </is>
      </c>
      <c r="L393" s="42" t="n"/>
      <c r="M393" s="43" t="n"/>
      <c r="N393" s="42" t="n"/>
      <c r="O393" s="42" t="n"/>
    </row>
    <row r="394" ht="15" customHeight="1" s="24">
      <c r="A394" s="41" t="inlineStr">
        <is>
          <t>TIM-23</t>
        </is>
      </c>
      <c r="B394" s="41" t="inlineStr">
        <is>
          <t>Timetable</t>
        </is>
      </c>
      <c r="C394" s="41" t="inlineStr">
        <is>
          <t>Class timetable - clash</t>
        </is>
      </c>
      <c r="D394" s="41" t="inlineStr">
        <is>
          <t>Functional</t>
        </is>
      </c>
      <c r="E394" s="41" t="inlineStr">
        <is>
          <t>Medium</t>
        </is>
      </c>
      <c r="F394" s="41" t="inlineStr">
        <is>
          <t>Admin</t>
        </is>
      </c>
      <c r="G394" s="41" t="inlineStr">
        <is>
          <t>Two subjects with no teacher, one in each class</t>
        </is>
      </c>
      <c r="H394" s="41" t="inlineStr">
        <is>
          <t>Schedule both at Monday / Period 1</t>
        </is>
      </c>
      <c r="I394" s="41" t="inlineStr">
        <is>
          <t>Both allowed: no teacher means no clash</t>
        </is>
      </c>
      <c r="J394" s="42" t="n"/>
      <c r="K394" s="42" t="inlineStr">
        <is>
          <t>Not Run</t>
        </is>
      </c>
      <c r="L394" s="42" t="n"/>
      <c r="M394" s="43" t="n"/>
      <c r="N394" s="42" t="n"/>
      <c r="O394" s="42" t="n"/>
    </row>
    <row r="395" ht="15" customHeight="1" s="24">
      <c r="A395" s="41" t="inlineStr">
        <is>
          <t>TIM-24</t>
        </is>
      </c>
      <c r="B395" s="41" t="inlineStr">
        <is>
          <t>Timetable</t>
        </is>
      </c>
      <c r="C395" s="41" t="inlineStr">
        <is>
          <t>Class timetable - rules</t>
        </is>
      </c>
      <c r="D395" s="41" t="inlineStr">
        <is>
          <t>Negative</t>
        </is>
      </c>
      <c r="E395" s="41" t="inlineStr">
        <is>
          <t>High</t>
        </is>
      </c>
      <c r="F395" s="41" t="inlineStr">
        <is>
          <t>Admin</t>
        </is>
      </c>
      <c r="G395" s="41" t="inlineStr">
        <is>
          <t>Swagger or Postman</t>
        </is>
      </c>
      <c r="H395" s="41" t="inlineStr">
        <is>
          <t>PUT /api/timetable/classes/{id}/cells for a Break period</t>
        </is>
      </c>
      <c r="I395" s="41" t="inlineStr">
        <is>
          <t>422: a break takes no lesson</t>
        </is>
      </c>
      <c r="J395" s="42" t="n"/>
      <c r="K395" s="42" t="inlineStr">
        <is>
          <t>Not Run</t>
        </is>
      </c>
      <c r="L395" s="42" t="n"/>
      <c r="M395" s="43" t="n"/>
      <c r="N395" s="42" t="n"/>
      <c r="O395" s="42" t="n"/>
    </row>
    <row r="396" ht="15" customHeight="1" s="24">
      <c r="A396" s="41" t="inlineStr">
        <is>
          <t>TIM-25</t>
        </is>
      </c>
      <c r="B396" s="41" t="inlineStr">
        <is>
          <t>Timetable</t>
        </is>
      </c>
      <c r="C396" s="41" t="inlineStr">
        <is>
          <t>Class timetable - rules</t>
        </is>
      </c>
      <c r="D396" s="41" t="inlineStr">
        <is>
          <t>Negative</t>
        </is>
      </c>
      <c r="E396" s="41" t="inlineStr">
        <is>
          <t>Medium</t>
        </is>
      </c>
      <c r="F396" s="41" t="inlineStr">
        <is>
          <t>Admin</t>
        </is>
      </c>
      <c r="G396" s="41" t="inlineStr">
        <is>
          <t>Swagger or Postman; Saturday is not a working day</t>
        </is>
      </c>
      <c r="H396" s="41" t="inlineStr">
        <is>
          <t>PUT a lesson for day 6</t>
        </is>
      </c>
      <c r="I396" s="41" t="inlineStr">
        <is>
          <t>422: not a working day</t>
        </is>
      </c>
      <c r="J396" s="42" t="n"/>
      <c r="K396" s="42" t="inlineStr">
        <is>
          <t>Not Run</t>
        </is>
      </c>
      <c r="L396" s="42" t="n"/>
      <c r="M396" s="43" t="n"/>
      <c r="N396" s="42" t="n"/>
      <c r="O396" s="42" t="n"/>
    </row>
    <row r="397" ht="15" customHeight="1" s="24">
      <c r="A397" s="41" t="inlineStr">
        <is>
          <t>TIM-26</t>
        </is>
      </c>
      <c r="B397" s="41" t="inlineStr">
        <is>
          <t>Timetable</t>
        </is>
      </c>
      <c r="C397" s="41" t="inlineStr">
        <is>
          <t>Class timetable - rules</t>
        </is>
      </c>
      <c r="D397" s="41" t="inlineStr">
        <is>
          <t>Negative</t>
        </is>
      </c>
      <c r="E397" s="41" t="inlineStr">
        <is>
          <t>High</t>
        </is>
      </c>
      <c r="F397" s="41" t="inlineStr">
        <is>
          <t>Admin</t>
        </is>
      </c>
      <c r="G397" s="41" t="inlineStr">
        <is>
          <t>Swagger or Postman</t>
        </is>
      </c>
      <c r="H397" s="41" t="inlineStr">
        <is>
          <t>PUT two cells where the second clashes (first is valid)</t>
        </is>
      </c>
      <c r="I397" s="41" t="inlineStr">
        <is>
          <t>Whole request refused; the valid first cell is NOT saved</t>
        </is>
      </c>
      <c r="J397" s="42" t="n"/>
      <c r="K397" s="42" t="inlineStr">
        <is>
          <t>Not Run</t>
        </is>
      </c>
      <c r="L397" s="42" t="n"/>
      <c r="M397" s="43" t="n"/>
      <c r="N397" s="42" t="n"/>
      <c r="O397" s="42" t="n"/>
    </row>
    <row r="398" ht="15" customHeight="1" s="24">
      <c r="A398" s="41" t="inlineStr">
        <is>
          <t>TIM-27</t>
        </is>
      </c>
      <c r="B398" s="41" t="inlineStr">
        <is>
          <t>Timetable</t>
        </is>
      </c>
      <c r="C398" s="41" t="inlineStr">
        <is>
          <t>Copy From</t>
        </is>
      </c>
      <c r="D398" s="41" t="inlineStr">
        <is>
          <t>Functional</t>
        </is>
      </c>
      <c r="E398" s="41" t="inlineStr">
        <is>
          <t>High</t>
        </is>
      </c>
      <c r="F398" s="41" t="inlineStr">
        <is>
          <t>Admin</t>
        </is>
      </c>
      <c r="G398" s="41" t="inlineStr">
        <is>
          <t>Class A has lessons; Class B has some other lessons; same codes in both</t>
        </is>
      </c>
      <c r="H398" s="41" t="inlineStr">
        <is>
          <t>Class B &gt; Copy from &gt; Class A</t>
        </is>
      </c>
      <c r="I398" s="41" t="inlineStr">
        <is>
          <t>Dialog says how many lessons will be replaced; after confirming, B's grid matches A's using B's own subjects</t>
        </is>
      </c>
      <c r="J398" s="42" t="n"/>
      <c r="K398" s="42" t="inlineStr">
        <is>
          <t>Not Run</t>
        </is>
      </c>
      <c r="L398" s="42" t="n"/>
      <c r="M398" s="43" t="n"/>
      <c r="N398" s="42" t="n"/>
      <c r="O398" s="42" t="n"/>
    </row>
    <row r="399" ht="15" customHeight="1" s="24">
      <c r="A399" s="41" t="inlineStr">
        <is>
          <t>TIM-28</t>
        </is>
      </c>
      <c r="B399" s="41" t="inlineStr">
        <is>
          <t>Timetable</t>
        </is>
      </c>
      <c r="C399" s="41" t="inlineStr">
        <is>
          <t>Copy From</t>
        </is>
      </c>
      <c r="D399" s="41" t="inlineStr">
        <is>
          <t>Functional</t>
        </is>
      </c>
      <c r="E399" s="41" t="inlineStr">
        <is>
          <t>Medium</t>
        </is>
      </c>
      <c r="F399" s="41" t="inlineStr">
        <is>
          <t>Admin</t>
        </is>
      </c>
      <c r="G399" s="41" t="inlineStr">
        <is>
          <t>Class A has a subject whose code Class B lacks</t>
        </is>
      </c>
      <c r="H399" s="41" t="inlineStr">
        <is>
          <t>Copy A into B</t>
        </is>
      </c>
      <c r="I399" s="41" t="inlineStr">
        <is>
          <t>That lesson is listed in the skipped dialog with the reason; the rest are copied</t>
        </is>
      </c>
      <c r="J399" s="42" t="n"/>
      <c r="K399" s="42" t="inlineStr">
        <is>
          <t>Not Run</t>
        </is>
      </c>
      <c r="L399" s="42" t="n"/>
      <c r="M399" s="43" t="n"/>
      <c r="N399" s="42" t="n"/>
      <c r="O399" s="42" t="n"/>
    </row>
    <row r="400" ht="15" customHeight="1" s="24">
      <c r="A400" s="41" t="inlineStr">
        <is>
          <t>TIM-29</t>
        </is>
      </c>
      <c r="B400" s="41" t="inlineStr">
        <is>
          <t>Timetable</t>
        </is>
      </c>
      <c r="C400" s="41" t="inlineStr">
        <is>
          <t>Copy From</t>
        </is>
      </c>
      <c r="D400" s="41" t="inlineStr">
        <is>
          <t>Functional</t>
        </is>
      </c>
      <c r="E400" s="41" t="inlineStr">
        <is>
          <t>Medium</t>
        </is>
      </c>
      <c r="F400" s="41" t="inlineStr">
        <is>
          <t>Admin</t>
        </is>
      </c>
      <c r="G400" s="41" t="inlineStr">
        <is>
          <t>Shared teacher already teaching another class at that time</t>
        </is>
      </c>
      <c r="H400" s="41" t="inlineStr">
        <is>
          <t>Copy into a class where a copied lesson would clash</t>
        </is>
      </c>
      <c r="I400" s="41" t="inlineStr">
        <is>
          <t>Clashing lessons are skipped and listed with the teacher's other class</t>
        </is>
      </c>
      <c r="J400" s="42" t="n"/>
      <c r="K400" s="42" t="inlineStr">
        <is>
          <t>Not Run</t>
        </is>
      </c>
      <c r="L400" s="42" t="n"/>
      <c r="M400" s="43" t="n"/>
      <c r="N400" s="42" t="n"/>
      <c r="O400" s="42" t="n"/>
    </row>
    <row r="401" ht="15" customHeight="1" s="24">
      <c r="A401" s="41" t="inlineStr">
        <is>
          <t>TIM-30</t>
        </is>
      </c>
      <c r="B401" s="41" t="inlineStr">
        <is>
          <t>Timetable</t>
        </is>
      </c>
      <c r="C401" s="41" t="inlineStr">
        <is>
          <t>Copy From</t>
        </is>
      </c>
      <c r="D401" s="41" t="inlineStr">
        <is>
          <t>Negative</t>
        </is>
      </c>
      <c r="E401" s="41" t="inlineStr">
        <is>
          <t>Low</t>
        </is>
      </c>
      <c r="F401" s="41" t="inlineStr">
        <is>
          <t>Admin</t>
        </is>
      </c>
      <c r="G401" s="41" t="inlineStr">
        <is>
          <t>Swagger; second academic year exists</t>
        </is>
      </c>
      <c r="H401" s="41" t="inlineStr">
        <is>
          <t>Copy from a class of another year; copy a class into itself</t>
        </is>
      </c>
      <c r="I401" s="41" t="inlineStr">
        <is>
          <t>Both refused with 422</t>
        </is>
      </c>
      <c r="J401" s="42" t="n"/>
      <c r="K401" s="42" t="inlineStr">
        <is>
          <t>Not Run</t>
        </is>
      </c>
      <c r="L401" s="42" t="n"/>
      <c r="M401" s="43" t="n"/>
      <c r="N401" s="42" t="n"/>
      <c r="O401" s="42" t="n"/>
    </row>
    <row r="402" ht="15" customHeight="1" s="24">
      <c r="A402" s="41" t="inlineStr">
        <is>
          <t>TIM-31</t>
        </is>
      </c>
      <c r="B402" s="41" t="inlineStr">
        <is>
          <t>Timetable</t>
        </is>
      </c>
      <c r="C402" s="41" t="inlineStr">
        <is>
          <t>Teacher timetable</t>
        </is>
      </c>
      <c r="D402" s="41" t="inlineStr">
        <is>
          <t>Functional</t>
        </is>
      </c>
      <c r="E402" s="41" t="inlineStr">
        <is>
          <t>High</t>
        </is>
      </c>
      <c r="F402" s="41" t="inlineStr">
        <is>
          <t>Admin</t>
        </is>
      </c>
      <c r="G402" s="41" t="inlineStr">
        <is>
          <t>zt.teacher1 has lessons in A and B</t>
        </is>
      </c>
      <c r="H402" s="41" t="inlineStr">
        <is>
          <t>Teacher timetable tab &gt; pick zt.teacher1</t>
        </is>
      </c>
      <c r="I402" s="41" t="inlineStr">
        <is>
          <t>Week shows each lesson with class name, subject and room</t>
        </is>
      </c>
      <c r="J402" s="42" t="n"/>
      <c r="K402" s="42" t="inlineStr">
        <is>
          <t>Not Run</t>
        </is>
      </c>
      <c r="L402" s="42" t="n"/>
      <c r="M402" s="43" t="n"/>
      <c r="N402" s="42" t="n"/>
      <c r="O402" s="42" t="n"/>
    </row>
    <row r="403" ht="15" customHeight="1" s="24">
      <c r="A403" s="41" t="inlineStr">
        <is>
          <t>TIM-32</t>
        </is>
      </c>
      <c r="B403" s="41" t="inlineStr">
        <is>
          <t>Timetable</t>
        </is>
      </c>
      <c r="C403" s="41" t="inlineStr">
        <is>
          <t>Teacher timetable</t>
        </is>
      </c>
      <c r="D403" s="41" t="inlineStr">
        <is>
          <t>Security</t>
        </is>
      </c>
      <c r="E403" s="41" t="inlineStr">
        <is>
          <t>High</t>
        </is>
      </c>
      <c r="F403" s="41" t="inlineStr">
        <is>
          <t>Teacher</t>
        </is>
      </c>
      <c r="G403" s="41" t="inlineStr">
        <is>
          <t>zt.teacher1 has lessons</t>
        </is>
      </c>
      <c r="H403" s="41" t="inlineStr">
        <is>
          <t>Log in as zt.teacher1 and open Timetable</t>
        </is>
      </c>
      <c r="I403" s="41" t="inlineStr">
        <is>
          <t>Only 'My timetable' is available, showing own lessons; no teacher picker, no Class or Periods tab</t>
        </is>
      </c>
      <c r="J403" s="42" t="n"/>
      <c r="K403" s="42" t="inlineStr">
        <is>
          <t>Not Run</t>
        </is>
      </c>
      <c r="L403" s="42" t="n"/>
      <c r="M403" s="43" t="n"/>
      <c r="N403" s="42" t="n"/>
      <c r="O403" s="42" t="n"/>
    </row>
    <row r="404" ht="15" customHeight="1" s="24">
      <c r="A404" s="41" t="inlineStr">
        <is>
          <t>TIM-33</t>
        </is>
      </c>
      <c r="B404" s="41" t="inlineStr">
        <is>
          <t>Timetable</t>
        </is>
      </c>
      <c r="C404" s="41" t="inlineStr">
        <is>
          <t>Teacher timetable</t>
        </is>
      </c>
      <c r="D404" s="41" t="inlineStr">
        <is>
          <t>Security</t>
        </is>
      </c>
      <c r="E404" s="41" t="inlineStr">
        <is>
          <t>High</t>
        </is>
      </c>
      <c r="F404" s="41" t="inlineStr">
        <is>
          <t>Teacher</t>
        </is>
      </c>
      <c r="G404" s="41" t="inlineStr">
        <is>
          <t>Another teacher exists</t>
        </is>
      </c>
      <c r="H404" s="41" t="inlineStr">
        <is>
          <t>Call GET /api/timetable/teachers/{otherTeacherId} with this teacher's token</t>
        </is>
      </c>
      <c r="I404" s="41" t="inlineStr">
        <is>
          <t>404 Teacher could not be found (same as an unknown id)</t>
        </is>
      </c>
      <c r="J404" s="42" t="n"/>
      <c r="K404" s="42" t="inlineStr">
        <is>
          <t>Not Run</t>
        </is>
      </c>
      <c r="L404" s="42" t="n"/>
      <c r="M404" s="43" t="n"/>
      <c r="N404" s="42" t="n"/>
      <c r="O404" s="42" t="n"/>
    </row>
    <row r="405" ht="15" customHeight="1" s="24">
      <c r="A405" s="41" t="inlineStr">
        <is>
          <t>TIM-34</t>
        </is>
      </c>
      <c r="B405" s="41" t="inlineStr">
        <is>
          <t>Timetable</t>
        </is>
      </c>
      <c r="C405" s="41" t="inlineStr">
        <is>
          <t>Access</t>
        </is>
      </c>
      <c r="D405" s="41" t="inlineStr">
        <is>
          <t>Security</t>
        </is>
      </c>
      <c r="E405" s="41" t="inlineStr">
        <is>
          <t>High</t>
        </is>
      </c>
      <c r="F405" s="41" t="inlineStr">
        <is>
          <t>Supervisor</t>
        </is>
      </c>
      <c r="G405" s="41" t="inlineStr">
        <is>
          <t>Lessons exist</t>
        </is>
      </c>
      <c r="H405" s="41" t="inlineStr">
        <is>
          <t>Open Timetable</t>
        </is>
      </c>
      <c r="I405" s="41" t="inlineStr">
        <is>
          <t>Can view and edit lessons and copy; no Add/Edit/Delete on Periods (Admin only)</t>
        </is>
      </c>
      <c r="J405" s="42" t="n"/>
      <c r="K405" s="42" t="inlineStr">
        <is>
          <t>Not Run</t>
        </is>
      </c>
      <c r="L405" s="42" t="n"/>
      <c r="M405" s="43" t="n"/>
      <c r="N405" s="42" t="n"/>
      <c r="O405" s="42" t="n"/>
    </row>
    <row r="406" ht="15" customHeight="1" s="24">
      <c r="A406" s="41" t="inlineStr">
        <is>
          <t>TIM-35</t>
        </is>
      </c>
      <c r="B406" s="41" t="inlineStr">
        <is>
          <t>Timetable</t>
        </is>
      </c>
      <c r="C406" s="41" t="inlineStr">
        <is>
          <t>Access</t>
        </is>
      </c>
      <c r="D406" s="41" t="inlineStr">
        <is>
          <t>Security</t>
        </is>
      </c>
      <c r="E406" s="41" t="inlineStr">
        <is>
          <t>High</t>
        </is>
      </c>
      <c r="F406" s="41" t="inlineStr">
        <is>
          <t>Clerk</t>
        </is>
      </c>
      <c r="G406" s="41" t="inlineStr">
        <is>
          <t>Lessons exist</t>
        </is>
      </c>
      <c r="H406" s="41" t="inlineStr">
        <is>
          <t>Open Timetable</t>
        </is>
      </c>
      <c r="I406" s="41" t="inlineStr">
        <is>
          <t>Can view only: cells are not clickable, no Copy from, no period actions</t>
        </is>
      </c>
      <c r="J406" s="42" t="n"/>
      <c r="K406" s="42" t="inlineStr">
        <is>
          <t>Not Run</t>
        </is>
      </c>
      <c r="L406" s="42" t="n"/>
      <c r="M406" s="43" t="n"/>
      <c r="N406" s="42" t="n"/>
      <c r="O406" s="42" t="n"/>
    </row>
    <row r="407" ht="15" customHeight="1" s="24">
      <c r="A407" s="41" t="inlineStr">
        <is>
          <t>TIM-36</t>
        </is>
      </c>
      <c r="B407" s="41" t="inlineStr">
        <is>
          <t>Timetable</t>
        </is>
      </c>
      <c r="C407" s="41" t="inlineStr">
        <is>
          <t>Access</t>
        </is>
      </c>
      <c r="D407" s="41" t="inlineStr">
        <is>
          <t>Security</t>
        </is>
      </c>
      <c r="E407" s="41" t="inlineStr">
        <is>
          <t>High</t>
        </is>
      </c>
      <c r="F407" s="41" t="inlineStr">
        <is>
          <t>Role without any Timetable permission</t>
        </is>
      </c>
      <c r="G407" s="41" t="inlineStr">
        <is>
          <t>Custom role</t>
        </is>
      </c>
      <c r="H407" s="41" t="inlineStr">
        <is>
          <t>Open /timetable directly</t>
        </is>
      </c>
      <c r="I407" s="41" t="inlineStr">
        <is>
          <t>Redirected; sidebar item hidden or refused; API answers 403</t>
        </is>
      </c>
      <c r="J407" s="42" t="n"/>
      <c r="K407" s="42" t="inlineStr">
        <is>
          <t>Not Run</t>
        </is>
      </c>
      <c r="L407" s="42" t="n"/>
      <c r="M407" s="43" t="n"/>
      <c r="N407" s="42" t="n"/>
      <c r="O407" s="42" t="n"/>
    </row>
    <row r="408" ht="15" customHeight="1" s="24">
      <c r="A408" s="41" t="inlineStr">
        <is>
          <t>TIM-37</t>
        </is>
      </c>
      <c r="B408" s="41" t="inlineStr">
        <is>
          <t>Timetable</t>
        </is>
      </c>
      <c r="C408" s="41" t="inlineStr">
        <is>
          <t>Settings link</t>
        </is>
      </c>
      <c r="D408" s="41" t="inlineStr">
        <is>
          <t>Negative</t>
        </is>
      </c>
      <c r="E408" s="41" t="inlineStr">
        <is>
          <t>High</t>
        </is>
      </c>
      <c r="F408" s="41" t="inlineStr">
        <is>
          <t>Admin</t>
        </is>
      </c>
      <c r="G408" s="41" t="inlineStr">
        <is>
          <t>Lessons exist on Saturday and Saturday is a working day</t>
        </is>
      </c>
      <c r="H408" s="41" t="inlineStr">
        <is>
          <t>Settings &gt; working days: untick Saturday &gt; Save</t>
        </is>
      </c>
      <c r="I408" s="41" t="inlineStr">
        <is>
          <t>Refused: Cannot remove Saturday as a working day: N lesson(s) in M class(es) are scheduled on it. Clear them first</t>
        </is>
      </c>
      <c r="J408" s="42" t="n"/>
      <c r="K408" s="42" t="inlineStr">
        <is>
          <t>Not Run</t>
        </is>
      </c>
      <c r="L408" s="42" t="n"/>
      <c r="M408" s="43" t="n"/>
      <c r="N408" s="42" t="n"/>
      <c r="O408" s="42" t="n"/>
    </row>
    <row r="409" ht="15" customHeight="1" s="24">
      <c r="A409" s="41" t="inlineStr">
        <is>
          <t>TIM-38</t>
        </is>
      </c>
      <c r="B409" s="41" t="inlineStr">
        <is>
          <t>Timetable</t>
        </is>
      </c>
      <c r="C409" s="41" t="inlineStr">
        <is>
          <t>Subjects link</t>
        </is>
      </c>
      <c r="D409" s="41" t="inlineStr">
        <is>
          <t>Negative</t>
        </is>
      </c>
      <c r="E409" s="41" t="inlineStr">
        <is>
          <t>High</t>
        </is>
      </c>
      <c r="F409" s="41" t="inlineStr">
        <is>
          <t>Admin</t>
        </is>
      </c>
      <c r="G409" s="41" t="inlineStr">
        <is>
          <t>ZT Math has lessons on the timetable</t>
        </is>
      </c>
      <c r="H409" s="41" t="inlineStr">
        <is>
          <t>Move ZT Math to another class; then delete it</t>
        </is>
      </c>
      <c r="I409" s="41" t="inlineStr">
        <is>
          <t>Both refused: subject is on the timetable (N lessons). After clearing them both work</t>
        </is>
      </c>
      <c r="J409" s="42" t="n"/>
      <c r="K409" s="42" t="inlineStr">
        <is>
          <t>Not Run</t>
        </is>
      </c>
      <c r="L409" s="42" t="n"/>
      <c r="M409" s="43" t="n"/>
      <c r="N409" s="42" t="n"/>
      <c r="O409" s="42" t="n"/>
    </row>
    <row r="410" ht="15" customHeight="1" s="24">
      <c r="A410" s="41" t="inlineStr">
        <is>
          <t>TIM-39</t>
        </is>
      </c>
      <c r="B410" s="41" t="inlineStr">
        <is>
          <t>Timetable</t>
        </is>
      </c>
      <c r="C410" s="41" t="inlineStr">
        <is>
          <t>Teachers link</t>
        </is>
      </c>
      <c r="D410" s="41" t="inlineStr">
        <is>
          <t>Negative</t>
        </is>
      </c>
      <c r="E410" s="41" t="inlineStr">
        <is>
          <t>High</t>
        </is>
      </c>
      <c r="F410" s="41" t="inlineStr">
        <is>
          <t>Admin</t>
        </is>
      </c>
      <c r="G410" s="41" t="inlineStr">
        <is>
          <t>Subject on the timetable at Monday P1; a teacher already teaching another class then</t>
        </is>
      </c>
      <c r="H410" s="41" t="inlineStr">
        <is>
          <t>Teachers &gt; assign that subject to that teacher</t>
        </is>
      </c>
      <c r="I410" s="41" t="inlineStr">
        <is>
          <t>Refused: the teacher already teaches that class at that time. Unassigning a subject is always allowed</t>
        </is>
      </c>
      <c r="J410" s="42" t="n"/>
      <c r="K410" s="42" t="inlineStr">
        <is>
          <t>Not Run</t>
        </is>
      </c>
      <c r="L410" s="42" t="n"/>
      <c r="M410" s="43" t="n"/>
      <c r="N410" s="42" t="n"/>
      <c r="O410" s="42" t="n"/>
    </row>
    <row r="411" ht="15" customHeight="1" s="24">
      <c r="A411" s="41" t="inlineStr">
        <is>
          <t>TIM-40</t>
        </is>
      </c>
      <c r="B411" s="41" t="inlineStr">
        <is>
          <t>Timetable</t>
        </is>
      </c>
      <c r="C411" s="41" t="inlineStr">
        <is>
          <t>Concurrency</t>
        </is>
      </c>
      <c r="D411" s="41" t="inlineStr">
        <is>
          <t>Exploratory</t>
        </is>
      </c>
      <c r="E411" s="41" t="inlineStr">
        <is>
          <t>Medium</t>
        </is>
      </c>
      <c r="F411" s="41" t="inlineStr">
        <is>
          <t>Two Admins</t>
        </is>
      </c>
      <c r="G411" s="41" t="inlineStr">
        <is>
          <t>Two browsers; same teacher on subjects in two classes</t>
        </is>
      </c>
      <c r="H411" s="41" t="inlineStr">
        <is>
          <t>Both save the same slot for their class at the same moment</t>
        </is>
      </c>
      <c r="I411" s="41" t="inlineStr">
        <is>
          <t>Exactly one save succeeds; the other gets a clash message</t>
        </is>
      </c>
      <c r="J411" s="42" t="n"/>
      <c r="K411" s="42" t="inlineStr">
        <is>
          <t>Not Run</t>
        </is>
      </c>
      <c r="L411" s="42" t="n"/>
      <c r="M411" s="43" t="n"/>
      <c r="N411" s="42" t="n"/>
      <c r="O411" s="42" t="n"/>
    </row>
    <row r="412" ht="15" customHeight="1" s="24">
      <c r="A412" s="41" t="inlineStr">
        <is>
          <t>TIM-41</t>
        </is>
      </c>
      <c r="B412" s="41" t="inlineStr">
        <is>
          <t>Timetable</t>
        </is>
      </c>
      <c r="C412" s="41" t="inlineStr">
        <is>
          <t>Persistence</t>
        </is>
      </c>
      <c r="D412" s="41" t="inlineStr">
        <is>
          <t>Functional</t>
        </is>
      </c>
      <c r="E412" s="41" t="inlineStr">
        <is>
          <t>Medium</t>
        </is>
      </c>
      <c r="F412" s="41" t="inlineStr">
        <is>
          <t>Admin</t>
        </is>
      </c>
      <c r="G412" s="41" t="inlineStr">
        <is>
          <t>Lessons saved</t>
        </is>
      </c>
      <c r="H412" s="41" t="inlineStr">
        <is>
          <t>Reload the page and re-select the class and year</t>
        </is>
      </c>
      <c r="I412" s="41" t="inlineStr">
        <is>
          <t>Same lessons appear; teacher tab matches the class grids</t>
        </is>
      </c>
      <c r="J412" s="42" t="n"/>
      <c r="K412" s="42" t="inlineStr">
        <is>
          <t>Not Run</t>
        </is>
      </c>
      <c r="L412" s="42" t="n"/>
      <c r="M412" s="43" t="n"/>
      <c r="N412" s="42" t="n"/>
      <c r="O412" s="42" t="n"/>
    </row>
    <row r="413" ht="15" customHeight="1" s="24">
      <c r="A413" s="41" t="inlineStr">
        <is>
          <t>TIM-42</t>
        </is>
      </c>
      <c r="B413" s="41" t="inlineStr">
        <is>
          <t>Timetable</t>
        </is>
      </c>
      <c r="C413" s="41" t="inlineStr">
        <is>
          <t>Settings link</t>
        </is>
      </c>
      <c r="D413" s="41" t="inlineStr">
        <is>
          <t>Functional</t>
        </is>
      </c>
      <c r="E413" s="41" t="inlineStr">
        <is>
          <t>Low</t>
        </is>
      </c>
      <c r="F413" s="41" t="inlineStr">
        <is>
          <t>Admin</t>
        </is>
      </c>
      <c r="G413" s="41" t="inlineStr">
        <is>
          <t>Lessons only on Monday-Friday</t>
        </is>
      </c>
      <c r="H413" s="41" t="inlineStr">
        <is>
          <t>Untick Saturday and Save (Saturday had no lessons)</t>
        </is>
      </c>
      <c r="I413" s="41" t="inlineStr">
        <is>
          <t>Saved; Saturday column disappears from grids</t>
        </is>
      </c>
      <c r="J413" s="42" t="n"/>
      <c r="K413" s="42" t="inlineStr">
        <is>
          <t>Not Run</t>
        </is>
      </c>
      <c r="L413" s="42" t="n"/>
      <c r="M413" s="43" t="n"/>
      <c r="N413" s="42" t="n"/>
      <c r="O413" s="42" t="n"/>
    </row>
  </sheetData>
  <autoFilter ref="A1:O413"/>
  <conditionalFormatting sqref="K2:K413">
    <cfRule type="cellIs" rank="0" priority="2" equalAverage="0" operator="equal" aboveAverage="0" dxfId="6" text="" percent="0" bottom="0">
      <formula>"Pass"</formula>
    </cfRule>
    <cfRule type="cellIs" rank="0" priority="3" equalAverage="0" operator="equal" aboveAverage="0" dxfId="7" text="" percent="0" bottom="0">
      <formula>"Fail"</formula>
    </cfRule>
    <cfRule type="cellIs" rank="0" priority="4" equalAverage="0" operator="equal" aboveAverage="0" dxfId="8" text="" percent="0" bottom="0">
      <formula>"Blocked"</formula>
    </cfRule>
    <cfRule type="cellIs" rank="0" priority="5" equalAverage="0" operator="equal" aboveAverage="0" dxfId="9" text="" percent="0" bottom="0">
      <formula>"Not Run"</formula>
    </cfRule>
  </conditionalFormatting>
  <conditionalFormatting sqref="A2:E413">
    <cfRule type="expression" rank="0" priority="6" equalAverage="0" aboveAverage="0" dxfId="10" text="" percent="0" bottom="0">
      <formula>$E2="High"</formula>
    </cfRule>
  </conditionalFormatting>
  <dataValidations count="2">
    <dataValidation sqref="K2:K413" showDropDown="0" showInputMessage="0" showErrorMessage="0" allowBlank="0" type="list" errorStyle="stop" operator="between">
      <formula1>"Not Run,Pass,Fail,Blocked,N/A"</formula1>
      <formula2>0</formula2>
    </dataValidation>
    <dataValidation sqref="M2:M413" showDropDown="0" showInputMessage="0" showErrorMessage="0" allowBlank="1" error="Enter a date" type="date" errorStyle="stop" operator="greaterThan">
      <formula1>36526</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2" customWidth="1" style="23" min="1" max="1"/>
    <col width="18" customWidth="1" style="23" min="2" max="2"/>
    <col width="22" customWidth="1" style="23" min="3" max="3"/>
    <col width="70" customWidth="1" style="23" min="4" max="4"/>
  </cols>
  <sheetData>
    <row r="1" ht="17.25" customHeight="1" s="24">
      <c r="A1" s="32" t="inlineStr">
        <is>
          <t>Test data to set up first</t>
        </is>
      </c>
    </row>
    <row r="2" ht="15" customHeight="1" s="24">
      <c r="A2" s="33" t="inlineStr">
        <is>
          <t>Create these in a TEST database. Passwords are suggestions: change them if your policy differs (8+ characters, upper case, digit, special character).</t>
        </is>
      </c>
    </row>
    <row r="4" ht="15" customHeight="1" s="24">
      <c r="A4" s="44" t="inlineStr">
        <is>
          <t>Username</t>
        </is>
      </c>
      <c r="B4" s="44" t="inlineStr">
        <is>
          <t>Role</t>
        </is>
      </c>
      <c r="C4" s="44" t="inlineStr">
        <is>
          <t>Suggested password</t>
        </is>
      </c>
      <c r="D4" s="44" t="inlineStr">
        <is>
          <t>Notes</t>
        </is>
      </c>
    </row>
    <row r="5" ht="15" customHeight="1" s="24">
      <c r="A5" s="41" t="inlineStr">
        <is>
          <t>admin</t>
        </is>
      </c>
      <c r="B5" s="41" t="inlineStr">
        <is>
          <t>Admin</t>
        </is>
      </c>
      <c r="C5" s="41" t="inlineStr">
        <is>
          <t>(existing admin)</t>
        </is>
      </c>
      <c r="D5" s="41" t="inlineStr">
        <is>
          <t>Full access. Use for most cases.</t>
        </is>
      </c>
    </row>
    <row r="6" ht="23.25" customHeight="1" s="24">
      <c r="A6" s="41" t="inlineStr">
        <is>
          <t>admin2</t>
        </is>
      </c>
      <c r="B6" s="41" t="inlineStr">
        <is>
          <t>Admin</t>
        </is>
      </c>
      <c r="C6" s="41" t="inlineStr">
        <is>
          <t>ZtAdmin#2026</t>
        </is>
      </c>
      <c r="D6" s="41" t="inlineStr">
        <is>
          <t>Second Admin: needed for document review (no self-review), concurrency and 'last Admin' cases.</t>
        </is>
      </c>
    </row>
    <row r="7" ht="15" customHeight="1" s="24">
      <c r="A7" s="41" t="inlineStr">
        <is>
          <t>zt.clerk</t>
        </is>
      </c>
      <c r="B7" s="41" t="inlineStr">
        <is>
          <t>Clerk</t>
        </is>
      </c>
      <c r="C7" s="41" t="inlineStr">
        <is>
          <t>ZtClerk#2026</t>
        </is>
      </c>
      <c r="D7" s="41" t="inlineStr">
        <is>
          <t>Limited role. Used for permission and masking cases.</t>
        </is>
      </c>
    </row>
    <row r="8" ht="15" customHeight="1" s="24">
      <c r="A8" s="41" t="inlineStr">
        <is>
          <t>zt.supervisor</t>
        </is>
      </c>
      <c r="B8" s="41" t="inlineStr">
        <is>
          <t>Supervisor</t>
        </is>
      </c>
      <c r="C8" s="41" t="inlineStr">
        <is>
          <t>ZtSuper#2026</t>
        </is>
      </c>
      <c r="D8" s="41" t="inlineStr">
        <is>
          <t>Limited role; can see identity values.</t>
        </is>
      </c>
    </row>
    <row r="9" ht="23.25" customHeight="1" s="24">
      <c r="A9" s="41" t="inlineStr">
        <is>
          <t>zt.teacher1</t>
        </is>
      </c>
      <c r="B9" s="41" t="inlineStr">
        <is>
          <t>Teacher</t>
        </is>
      </c>
      <c r="C9" s="41" t="inlineStr">
        <is>
          <t>ZtTeach#2026</t>
        </is>
      </c>
      <c r="D9" s="41" t="inlineStr">
        <is>
          <t>Class teacher of 'ZT Class A' (assign it in Teachers). Used for attendance and scoped-access cases.</t>
        </is>
      </c>
    </row>
    <row r="10" ht="34.5" customHeight="1" s="24">
      <c r="A10" s="41" t="inlineStr">
        <is>
          <t>zt.custom</t>
        </is>
      </c>
      <c r="B10" s="41" t="inlineStr">
        <is>
          <t>Custom role 'ZT NoParents'</t>
        </is>
      </c>
      <c r="C10" s="41" t="inlineStr">
        <is>
          <t>ZtCustom#2026</t>
        </is>
      </c>
      <c r="D10" s="41" t="inlineStr">
        <is>
          <t>Create a role with Admissions.Create/Edit but WITHOUT Parents.View (cases ADM-G09, G10). Also create 'ZT ParentsOnly' with Parents.View but no Admissions rights (ADM-G11).</t>
        </is>
      </c>
    </row>
    <row r="11" ht="23.85" customHeight="1" s="24">
      <c r="A11" s="41" t="inlineStr">
        <is>
          <t>zt.deleteonly</t>
        </is>
      </c>
      <c r="B11" s="41" t="inlineStr">
        <is>
          <t>Custom role 'ZT DeleteNoAdmin'</t>
        </is>
      </c>
      <c r="C11" s="41" t="inlineStr">
        <is>
          <t>ZtDelete#2026</t>
        </is>
      </c>
      <c r="D11" s="41" t="inlineStr">
        <is>
          <t>Role with Admissions.View + Admissions.Delete only, NOT Admin (cases ADM-57).</t>
        </is>
      </c>
    </row>
    <row r="12" ht="15" customHeight="1" s="24">
      <c r="A12" s="41" t="inlineStr">
        <is>
          <t>zt.settingsview</t>
        </is>
      </c>
      <c r="B12" s="41" t="inlineStr">
        <is>
          <t>Custom role 'ZT SettingsView'</t>
        </is>
      </c>
      <c r="C12" s="41" t="inlineStr">
        <is>
          <t>ZtSettings#2026</t>
        </is>
      </c>
      <c r="D12" s="41" t="inlineStr">
        <is>
          <t>Role with Settings.View only (case SET-14).</t>
        </is>
      </c>
    </row>
    <row r="13" ht="15" customHeight="1" s="24"/>
    <row r="14" ht="34.5" customHeight="1" s="24">
      <c r="A14" s="29" t="inlineStr">
        <is>
          <t>Sample records</t>
        </is>
      </c>
    </row>
    <row r="15" ht="23.25" customHeight="1" s="24">
      <c r="A15" s="44" t="inlineStr">
        <is>
          <t>Record</t>
        </is>
      </c>
      <c r="B15" s="44" t="inlineStr">
        <is>
          <t>Name / value</t>
        </is>
      </c>
      <c r="C15" s="44" t="inlineStr">
        <is>
          <t>Details</t>
        </is>
      </c>
      <c r="D15" s="44" t="inlineStr">
        <is>
          <t>Notes</t>
        </is>
      </c>
    </row>
    <row r="16" ht="15" customHeight="1" s="24">
      <c r="A16" s="41" t="inlineStr">
        <is>
          <t>Class</t>
        </is>
      </c>
      <c r="B16" s="41" t="inlineStr">
        <is>
          <t>ZT Class A</t>
        </is>
      </c>
      <c r="C16" s="41" t="inlineStr">
        <is>
          <t>Section A, Primary, English, General, capacity 30</t>
        </is>
      </c>
      <c r="D16" s="41" t="inlineStr">
        <is>
          <t>Second class: ZT Class B. For 'full' tests make one with capacity 1.</t>
        </is>
      </c>
    </row>
    <row r="17" ht="15" customHeight="1" s="24">
      <c r="A17" s="41" t="inlineStr">
        <is>
          <t>Subject</t>
        </is>
      </c>
      <c r="B17" s="41" t="inlineStr">
        <is>
          <t>ZT Math</t>
        </is>
      </c>
      <c r="C17" s="41" t="inlineStr">
        <is>
          <t>Class A, Theory, max 100, pass 35</t>
        </is>
      </c>
      <c r="D17" s="41" t="n"/>
    </row>
    <row r="18" ht="23.25" customHeight="1" s="24">
      <c r="A18" s="41" t="inlineStr">
        <is>
          <t>Parent</t>
        </is>
      </c>
      <c r="B18" s="41" t="inlineStr">
        <is>
          <t>ZT Father</t>
        </is>
      </c>
      <c r="C18" s="41" t="inlineStr">
        <is>
          <t>Mobile 9876501111</t>
        </is>
      </c>
      <c r="D18" s="41" t="inlineStr">
        <is>
          <t>Used in E2E-01, E2E-06 and the existing-parent cases.</t>
        </is>
      </c>
    </row>
    <row r="19" ht="23.25" customHeight="1" s="24">
      <c r="A19" s="41" t="inlineStr">
        <is>
          <t>Parent</t>
        </is>
      </c>
      <c r="B19" s="41" t="inlineStr">
        <is>
          <t>ZT Mother</t>
        </is>
      </c>
      <c r="C19" s="41" t="inlineStr">
        <is>
          <t>Mobile 9876502222</t>
        </is>
      </c>
      <c r="D19" s="41" t="n"/>
    </row>
    <row r="20" ht="15" customHeight="1" s="24">
      <c r="A20" s="41" t="inlineStr">
        <is>
          <t>Applicant</t>
        </is>
      </c>
      <c r="B20" s="41" t="inlineStr">
        <is>
          <t>ZTKid One</t>
        </is>
      </c>
      <c r="C20" s="41" t="inlineStr">
        <is>
          <t>DOB a valid past date, Class A</t>
        </is>
      </c>
      <c r="D20" s="41" t="inlineStr">
        <is>
          <t>Guardians: Father (mobile 9876501111) and Mother.</t>
        </is>
      </c>
    </row>
    <row r="21" ht="23.85" customHeight="1" s="24">
      <c r="A21" s="41" t="inlineStr">
        <is>
          <t>Documents</t>
        </is>
      </c>
      <c r="B21" s="41" t="inlineStr">
        <is>
          <t>small.pdf, photo.jpg, scan.png</t>
        </is>
      </c>
      <c r="C21" s="41" t="inlineStr">
        <is>
          <t>Any small files</t>
        </is>
      </c>
      <c r="D21" s="41" t="inlineStr">
        <is>
          <t>Also: a text file renamed .pdf (must be refused) and a file over 5 MB.</t>
        </is>
      </c>
    </row>
    <row r="22" ht="15" customHeight="1" s="24">
      <c r="A22" s="41" t="inlineStr">
        <is>
          <t>Time</t>
        </is>
      </c>
      <c r="B22" s="41" t="inlineStr">
        <is>
          <t>Test around midnight</t>
        </is>
      </c>
      <c r="C22" s="41" t="inlineStr">
        <is>
          <t>00:00-04:00 Abu Dhabi</t>
        </is>
      </c>
      <c r="D22" s="41" t="inlineStr">
        <is>
          <t>For case ATT-25 only.</t>
        </is>
      </c>
    </row>
    <row r="23" ht="23.85" customHeight="1" s="24">
      <c r="A23" s="41" t="inlineStr">
        <is>
          <t>Admission fee</t>
        </is>
      </c>
      <c r="B23" s="41" t="inlineStr">
        <is>
          <t>Class 1 or ZT Class A = 500</t>
        </is>
      </c>
      <c r="C23" s="41" t="inlineStr">
        <is>
          <t>Masters &gt; Admission fees</t>
        </is>
      </c>
      <c r="D23" s="41" t="inlineStr">
        <is>
          <t>For ADM-51 to ADM-53 and SET-10 to SET-14.</t>
        </is>
      </c>
    </row>
    <row r="24" ht="15" customHeight="1" s="24">
      <c r="A24" s="41" t="inlineStr">
        <is>
          <t>Emirates ID</t>
        </is>
      </c>
      <c r="B24" s="41" t="inlineStr">
        <is>
          <t>784-1990-1234567-1</t>
        </is>
      </c>
      <c r="C24" s="41" t="inlineStr">
        <is>
          <t>15 digits starting 784</t>
        </is>
      </c>
      <c r="D24" s="41" t="inlineStr">
        <is>
          <t>Also 784-1985-7654321-3 for a second student (STU-57, STU-59).</t>
        </is>
      </c>
    </row>
    <row r="25">
      <c r="A25" s="41" t="inlineStr">
        <is>
          <t>Periods</t>
        </is>
      </c>
      <c r="B25" s="41" t="inlineStr">
        <is>
          <t>Period 1 08:00-08:45 (order 1); Period 2 08:45-09:30 (2); Period 3 09:30-10:15 (3); Break 10:15-10:35 (4, type Break)</t>
        </is>
      </c>
      <c r="C25" s="41" t="inlineStr">
        <is>
          <t>Current academic year</t>
        </is>
      </c>
      <c r="D25" s="41" t="inlineStr">
        <is>
          <t>For all TIM cases.</t>
        </is>
      </c>
    </row>
    <row r="26">
      <c r="A26" s="41" t="inlineStr">
        <is>
          <t>Subjects</t>
        </is>
      </c>
      <c r="B26" s="41" t="inlineStr">
        <is>
          <t>ZT Math and ZT English in both ZT Class A and ZT Class B, same codes, same teacher zt.teacher1</t>
        </is>
      </c>
      <c r="C26" s="41" t="inlineStr">
        <is>
          <t>Teachers &gt; assign subjects</t>
        </is>
      </c>
      <c r="D26" s="41" t="inlineStr">
        <is>
          <t>TIM-21 to TIM-23 and Copy From cases need the same teacher in both classes.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L204"/>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1" customWidth="1" style="23" min="1" max="1"/>
    <col width="12" customWidth="1" style="23" min="2" max="2"/>
    <col width="18" customWidth="1" style="23" min="3" max="3"/>
    <col width="11" customWidth="1" style="23" min="4" max="4"/>
    <col width="40" customWidth="1" style="23" min="5" max="5"/>
    <col width="50" customWidth="1" style="23" min="6" max="7"/>
    <col width="11" customWidth="1" style="23" min="8" max="8"/>
    <col width="13" customWidth="1" style="23" min="9" max="9"/>
    <col width="14" customWidth="1" style="23" min="10" max="10"/>
    <col width="22" customWidth="1" style="23" min="11" max="11"/>
    <col width="36" customWidth="1" style="23" min="12" max="12"/>
  </cols>
  <sheetData>
    <row r="1" ht="17.25" customHeight="1" s="24">
      <c r="A1" s="32" t="inlineStr">
        <is>
          <t>Defect Log</t>
        </is>
      </c>
    </row>
    <row r="2" ht="15" customHeight="1" s="24">
      <c r="A2" s="33" t="inlineStr">
        <is>
          <t>One row per defect. Row 5 is an EXAMPLE (not counted in the Summary) showing the expected level of detail: overwrite or delete it. Copy the Defect ID into the failing test row.</t>
        </is>
      </c>
      <c r="L2" s="33" t="inlineStr">
        <is>
          <t>Severity: Critical = data loss / security / cannot continue; High = core feature broken; Medium = workaround exists; Low = cosmetic.</t>
        </is>
      </c>
    </row>
    <row r="4" ht="15" customHeight="1" s="24">
      <c r="A4" s="34" t="inlineStr">
        <is>
          <t>Defect ID</t>
        </is>
      </c>
      <c r="B4" s="34" t="inlineStr">
        <is>
          <t>Date Found</t>
        </is>
      </c>
      <c r="C4" s="34" t="inlineStr">
        <is>
          <t>Module</t>
        </is>
      </c>
      <c r="D4" s="34" t="inlineStr">
        <is>
          <t>Test ID</t>
        </is>
      </c>
      <c r="E4" s="34" t="inlineStr">
        <is>
          <t>Summary (one line)</t>
        </is>
      </c>
      <c r="F4" s="34" t="inlineStr">
        <is>
          <t>Steps to reproduce</t>
        </is>
      </c>
      <c r="G4" s="34" t="inlineStr">
        <is>
          <t>Expected vs Actual</t>
        </is>
      </c>
      <c r="H4" s="34" t="inlineStr">
        <is>
          <t>Severity</t>
        </is>
      </c>
      <c r="I4" s="34" t="inlineStr">
        <is>
          <t>Status</t>
        </is>
      </c>
      <c r="J4" s="34" t="inlineStr">
        <is>
          <t>Reported By</t>
        </is>
      </c>
      <c r="K4" s="34" t="inlineStr">
        <is>
          <t>Screenshot / File</t>
        </is>
      </c>
      <c r="L4" s="34" t="inlineStr">
        <is>
          <t>Developer Notes</t>
        </is>
      </c>
    </row>
    <row r="5" ht="23.25" customHeight="1" s="24">
      <c r="A5" s="45" t="inlineStr">
        <is>
          <t>DEF-001</t>
        </is>
      </c>
      <c r="B5" s="45" t="inlineStr">
        <is>
          <t>2026-10-15</t>
        </is>
      </c>
      <c r="C5" s="45" t="inlineStr">
        <is>
          <t>Students</t>
        </is>
      </c>
      <c r="D5" s="45" t="inlineStr">
        <is>
          <t>STU-25</t>
        </is>
      </c>
      <c r="E5" s="45" t="inlineStr">
        <is>
          <t>EXAMPLE: Moving a student to another class does not add a history row</t>
        </is>
      </c>
      <c r="F5" s="45" t="inlineStr">
        <is>
          <t>1. Login as Admin 2. Students &gt; Edit 'ZTKid One' 3. Change class A to B, Save 4. Open Academic History</t>
        </is>
      </c>
      <c r="G5" s="45" t="inlineStr">
        <is>
          <t>Expected: two rows (Transferred + Active). Actual: one row only. Console shows no error.</t>
        </is>
      </c>
      <c r="H5" s="45" t="inlineStr">
        <is>
          <t>High</t>
        </is>
      </c>
      <c r="I5" s="45" t="inlineStr">
        <is>
          <t>New</t>
        </is>
      </c>
      <c r="J5" s="45" t="inlineStr">
        <is>
          <t>Tester name</t>
        </is>
      </c>
      <c r="K5" s="45" t="inlineStr">
        <is>
          <t>screenshot-001.png</t>
        </is>
      </c>
      <c r="L5" s="45" t="n"/>
    </row>
    <row r="6" ht="15" customHeight="1" s="24">
      <c r="A6" s="42" t="n"/>
      <c r="B6" s="43" t="n"/>
      <c r="C6" s="42" t="n"/>
      <c r="D6" s="42" t="n"/>
      <c r="E6" s="42" t="n"/>
      <c r="F6" s="42" t="n"/>
      <c r="G6" s="42" t="n"/>
      <c r="H6" s="42" t="n"/>
      <c r="I6" s="42" t="n"/>
      <c r="J6" s="42" t="n"/>
      <c r="K6" s="42" t="n"/>
      <c r="L6" s="42" t="n"/>
    </row>
    <row r="7" ht="15" customHeight="1" s="24">
      <c r="A7" s="42" t="n"/>
      <c r="B7" s="43" t="n"/>
      <c r="C7" s="42" t="n"/>
      <c r="D7" s="42" t="n"/>
      <c r="E7" s="42" t="n"/>
      <c r="F7" s="42" t="n"/>
      <c r="G7" s="42" t="n"/>
      <c r="H7" s="42" t="n"/>
      <c r="I7" s="42" t="n"/>
      <c r="J7" s="42" t="n"/>
      <c r="K7" s="42" t="n"/>
      <c r="L7" s="42" t="n"/>
    </row>
    <row r="8" ht="15" customHeight="1" s="24">
      <c r="A8" s="42" t="n"/>
      <c r="B8" s="43" t="n"/>
      <c r="C8" s="42" t="n"/>
      <c r="D8" s="42" t="n"/>
      <c r="E8" s="42" t="n"/>
      <c r="F8" s="42" t="n"/>
      <c r="G8" s="42" t="n"/>
      <c r="H8" s="42" t="n"/>
      <c r="I8" s="42" t="n"/>
      <c r="J8" s="42" t="n"/>
      <c r="K8" s="42" t="n"/>
      <c r="L8" s="42" t="n"/>
    </row>
    <row r="9" ht="15" customHeight="1" s="24">
      <c r="A9" s="42" t="n"/>
      <c r="B9" s="43" t="n"/>
      <c r="C9" s="42" t="n"/>
      <c r="D9" s="42" t="n"/>
      <c r="E9" s="42" t="n"/>
      <c r="F9" s="42" t="n"/>
      <c r="G9" s="42" t="n"/>
      <c r="H9" s="42" t="n"/>
      <c r="I9" s="42" t="n"/>
      <c r="J9" s="42" t="n"/>
      <c r="K9" s="42" t="n"/>
      <c r="L9" s="42" t="n"/>
    </row>
    <row r="10" ht="15" customHeight="1" s="24">
      <c r="A10" s="42" t="n"/>
      <c r="B10" s="43" t="n"/>
      <c r="C10" s="42" t="n"/>
      <c r="D10" s="42" t="n"/>
      <c r="E10" s="42" t="n"/>
      <c r="F10" s="42" t="n"/>
      <c r="G10" s="42" t="n"/>
      <c r="H10" s="42" t="n"/>
      <c r="I10" s="42" t="n"/>
      <c r="J10" s="42" t="n"/>
      <c r="K10" s="42" t="n"/>
      <c r="L10" s="42" t="n"/>
    </row>
    <row r="11" ht="15" customHeight="1" s="24">
      <c r="A11" s="42" t="n"/>
      <c r="B11" s="43" t="n"/>
      <c r="C11" s="42" t="n"/>
      <c r="D11" s="42" t="n"/>
      <c r="E11" s="42" t="n"/>
      <c r="F11" s="42" t="n"/>
      <c r="G11" s="42" t="n"/>
      <c r="H11" s="42" t="n"/>
      <c r="I11" s="42" t="n"/>
      <c r="J11" s="42" t="n"/>
      <c r="K11" s="42" t="n"/>
      <c r="L11" s="42" t="n"/>
    </row>
    <row r="12" ht="15" customHeight="1" s="24">
      <c r="A12" s="42" t="n"/>
      <c r="B12" s="43" t="n"/>
      <c r="C12" s="42" t="n"/>
      <c r="D12" s="42" t="n"/>
      <c r="E12" s="42" t="n"/>
      <c r="F12" s="42" t="n"/>
      <c r="G12" s="42" t="n"/>
      <c r="H12" s="42" t="n"/>
      <c r="I12" s="42" t="n"/>
      <c r="J12" s="42" t="n"/>
      <c r="K12" s="42" t="n"/>
      <c r="L12" s="42" t="n"/>
    </row>
    <row r="13" ht="15" customHeight="1" s="24">
      <c r="A13" s="42" t="n"/>
      <c r="B13" s="43" t="n"/>
      <c r="C13" s="42" t="n"/>
      <c r="D13" s="42" t="n"/>
      <c r="E13" s="42" t="n"/>
      <c r="F13" s="42" t="n"/>
      <c r="G13" s="42" t="n"/>
      <c r="H13" s="42" t="n"/>
      <c r="I13" s="42" t="n"/>
      <c r="J13" s="42" t="n"/>
      <c r="K13" s="42" t="n"/>
      <c r="L13" s="42" t="n"/>
    </row>
    <row r="14" ht="15" customHeight="1" s="24">
      <c r="A14" s="42" t="n"/>
      <c r="B14" s="43" t="n"/>
      <c r="C14" s="42" t="n"/>
      <c r="D14" s="42" t="n"/>
      <c r="E14" s="42" t="n"/>
      <c r="F14" s="42" t="n"/>
      <c r="G14" s="42" t="n"/>
      <c r="H14" s="42" t="n"/>
      <c r="I14" s="42" t="n"/>
      <c r="J14" s="42" t="n"/>
      <c r="K14" s="42" t="n"/>
      <c r="L14" s="42" t="n"/>
    </row>
    <row r="15" ht="15" customHeight="1" s="24">
      <c r="A15" s="42" t="n"/>
      <c r="B15" s="43" t="n"/>
      <c r="C15" s="42" t="n"/>
      <c r="D15" s="42" t="n"/>
      <c r="E15" s="42" t="n"/>
      <c r="F15" s="42" t="n"/>
      <c r="G15" s="42" t="n"/>
      <c r="H15" s="42" t="n"/>
      <c r="I15" s="42" t="n"/>
      <c r="J15" s="42" t="n"/>
      <c r="K15" s="42" t="n"/>
      <c r="L15" s="42" t="n"/>
    </row>
    <row r="16" ht="15" customHeight="1" s="24">
      <c r="A16" s="42" t="n"/>
      <c r="B16" s="43" t="n"/>
      <c r="C16" s="42" t="n"/>
      <c r="D16" s="42" t="n"/>
      <c r="E16" s="42" t="n"/>
      <c r="F16" s="42" t="n"/>
      <c r="G16" s="42" t="n"/>
      <c r="H16" s="42" t="n"/>
      <c r="I16" s="42" t="n"/>
      <c r="J16" s="42" t="n"/>
      <c r="K16" s="42" t="n"/>
      <c r="L16" s="42" t="n"/>
    </row>
    <row r="17" ht="15" customHeight="1" s="24">
      <c r="A17" s="42" t="n"/>
      <c r="B17" s="43" t="n"/>
      <c r="C17" s="42" t="n"/>
      <c r="D17" s="42" t="n"/>
      <c r="E17" s="42" t="n"/>
      <c r="F17" s="42" t="n"/>
      <c r="G17" s="42" t="n"/>
      <c r="H17" s="42" t="n"/>
      <c r="I17" s="42" t="n"/>
      <c r="J17" s="42" t="n"/>
      <c r="K17" s="42" t="n"/>
      <c r="L17" s="42" t="n"/>
    </row>
    <row r="18" ht="15" customHeight="1" s="24">
      <c r="A18" s="42" t="n"/>
      <c r="B18" s="43" t="n"/>
      <c r="C18" s="42" t="n"/>
      <c r="D18" s="42" t="n"/>
      <c r="E18" s="42" t="n"/>
      <c r="F18" s="42" t="n"/>
      <c r="G18" s="42" t="n"/>
      <c r="H18" s="42" t="n"/>
      <c r="I18" s="42" t="n"/>
      <c r="J18" s="42" t="n"/>
      <c r="K18" s="42" t="n"/>
      <c r="L18" s="42" t="n"/>
    </row>
    <row r="19" ht="15" customHeight="1" s="24">
      <c r="A19" s="42" t="n"/>
      <c r="B19" s="43" t="n"/>
      <c r="C19" s="42" t="n"/>
      <c r="D19" s="42" t="n"/>
      <c r="E19" s="42" t="n"/>
      <c r="F19" s="42" t="n"/>
      <c r="G19" s="42" t="n"/>
      <c r="H19" s="42" t="n"/>
      <c r="I19" s="42" t="n"/>
      <c r="J19" s="42" t="n"/>
      <c r="K19" s="42" t="n"/>
      <c r="L19" s="42" t="n"/>
    </row>
    <row r="20" ht="15" customHeight="1" s="24">
      <c r="A20" s="42" t="n"/>
      <c r="B20" s="43" t="n"/>
      <c r="C20" s="42" t="n"/>
      <c r="D20" s="42" t="n"/>
      <c r="E20" s="42" t="n"/>
      <c r="F20" s="42" t="n"/>
      <c r="G20" s="42" t="n"/>
      <c r="H20" s="42" t="n"/>
      <c r="I20" s="42" t="n"/>
      <c r="J20" s="42" t="n"/>
      <c r="K20" s="42" t="n"/>
      <c r="L20" s="42" t="n"/>
    </row>
    <row r="21" ht="15" customHeight="1" s="24">
      <c r="A21" s="42" t="n"/>
      <c r="B21" s="43" t="n"/>
      <c r="C21" s="42" t="n"/>
      <c r="D21" s="42" t="n"/>
      <c r="E21" s="42" t="n"/>
      <c r="F21" s="42" t="n"/>
      <c r="G21" s="42" t="n"/>
      <c r="H21" s="42" t="n"/>
      <c r="I21" s="42" t="n"/>
      <c r="J21" s="42" t="n"/>
      <c r="K21" s="42" t="n"/>
      <c r="L21" s="42" t="n"/>
    </row>
    <row r="22" ht="15" customHeight="1" s="24">
      <c r="A22" s="42" t="n"/>
      <c r="B22" s="43" t="n"/>
      <c r="C22" s="42" t="n"/>
      <c r="D22" s="42" t="n"/>
      <c r="E22" s="42" t="n"/>
      <c r="F22" s="42" t="n"/>
      <c r="G22" s="42" t="n"/>
      <c r="H22" s="42" t="n"/>
      <c r="I22" s="42" t="n"/>
      <c r="J22" s="42" t="n"/>
      <c r="K22" s="42" t="n"/>
      <c r="L22" s="42" t="n"/>
    </row>
    <row r="23" ht="15" customHeight="1" s="24">
      <c r="A23" s="42" t="n"/>
      <c r="B23" s="43" t="n"/>
      <c r="C23" s="42" t="n"/>
      <c r="D23" s="42" t="n"/>
      <c r="E23" s="42" t="n"/>
      <c r="F23" s="42" t="n"/>
      <c r="G23" s="42" t="n"/>
      <c r="H23" s="42" t="n"/>
      <c r="I23" s="42" t="n"/>
      <c r="J23" s="42" t="n"/>
      <c r="K23" s="42" t="n"/>
      <c r="L23" s="42" t="n"/>
    </row>
    <row r="24" ht="15" customHeight="1" s="24">
      <c r="A24" s="42" t="n"/>
      <c r="B24" s="43" t="n"/>
      <c r="C24" s="42" t="n"/>
      <c r="D24" s="42" t="n"/>
      <c r="E24" s="42" t="n"/>
      <c r="F24" s="42" t="n"/>
      <c r="G24" s="42" t="n"/>
      <c r="H24" s="42" t="n"/>
      <c r="I24" s="42" t="n"/>
      <c r="J24" s="42" t="n"/>
      <c r="K24" s="42" t="n"/>
      <c r="L24" s="42" t="n"/>
    </row>
    <row r="25" ht="15" customHeight="1" s="24">
      <c r="A25" s="42" t="n"/>
      <c r="B25" s="43" t="n"/>
      <c r="C25" s="42" t="n"/>
      <c r="D25" s="42" t="n"/>
      <c r="E25" s="42" t="n"/>
      <c r="F25" s="42" t="n"/>
      <c r="G25" s="42" t="n"/>
      <c r="H25" s="42" t="n"/>
      <c r="I25" s="42" t="n"/>
      <c r="J25" s="42" t="n"/>
      <c r="K25" s="42" t="n"/>
      <c r="L25" s="42" t="n"/>
    </row>
    <row r="26" ht="15" customHeight="1" s="24">
      <c r="A26" s="42" t="n"/>
      <c r="B26" s="43" t="n"/>
      <c r="C26" s="42" t="n"/>
      <c r="D26" s="42" t="n"/>
      <c r="E26" s="42" t="n"/>
      <c r="F26" s="42" t="n"/>
      <c r="G26" s="42" t="n"/>
      <c r="H26" s="42" t="n"/>
      <c r="I26" s="42" t="n"/>
      <c r="J26" s="42" t="n"/>
      <c r="K26" s="42" t="n"/>
      <c r="L26" s="42" t="n"/>
    </row>
    <row r="27" ht="15" customHeight="1" s="24">
      <c r="A27" s="42" t="n"/>
      <c r="B27" s="43" t="n"/>
      <c r="C27" s="42" t="n"/>
      <c r="D27" s="42" t="n"/>
      <c r="E27" s="42" t="n"/>
      <c r="F27" s="42" t="n"/>
      <c r="G27" s="42" t="n"/>
      <c r="H27" s="42" t="n"/>
      <c r="I27" s="42" t="n"/>
      <c r="J27" s="42" t="n"/>
      <c r="K27" s="42" t="n"/>
      <c r="L27" s="42" t="n"/>
    </row>
    <row r="28" ht="15" customHeight="1" s="24">
      <c r="A28" s="42" t="n"/>
      <c r="B28" s="43" t="n"/>
      <c r="C28" s="42" t="n"/>
      <c r="D28" s="42" t="n"/>
      <c r="E28" s="42" t="n"/>
      <c r="F28" s="42" t="n"/>
      <c r="G28" s="42" t="n"/>
      <c r="H28" s="42" t="n"/>
      <c r="I28" s="42" t="n"/>
      <c r="J28" s="42" t="n"/>
      <c r="K28" s="42" t="n"/>
      <c r="L28" s="42" t="n"/>
    </row>
    <row r="29" ht="15" customHeight="1" s="24">
      <c r="A29" s="42" t="n"/>
      <c r="B29" s="43" t="n"/>
      <c r="C29" s="42" t="n"/>
      <c r="D29" s="42" t="n"/>
      <c r="E29" s="42" t="n"/>
      <c r="F29" s="42" t="n"/>
      <c r="G29" s="42" t="n"/>
      <c r="H29" s="42" t="n"/>
      <c r="I29" s="42" t="n"/>
      <c r="J29" s="42" t="n"/>
      <c r="K29" s="42" t="n"/>
      <c r="L29" s="42" t="n"/>
    </row>
    <row r="30" ht="15" customHeight="1" s="24">
      <c r="A30" s="42" t="n"/>
      <c r="B30" s="43" t="n"/>
      <c r="C30" s="42" t="n"/>
      <c r="D30" s="42" t="n"/>
      <c r="E30" s="42" t="n"/>
      <c r="F30" s="42" t="n"/>
      <c r="G30" s="42" t="n"/>
      <c r="H30" s="42" t="n"/>
      <c r="I30" s="42" t="n"/>
      <c r="J30" s="42" t="n"/>
      <c r="K30" s="42" t="n"/>
      <c r="L30" s="42" t="n"/>
    </row>
    <row r="31" ht="15" customHeight="1" s="24">
      <c r="A31" s="42" t="n"/>
      <c r="B31" s="43" t="n"/>
      <c r="C31" s="42" t="n"/>
      <c r="D31" s="42" t="n"/>
      <c r="E31" s="42" t="n"/>
      <c r="F31" s="42" t="n"/>
      <c r="G31" s="42" t="n"/>
      <c r="H31" s="42" t="n"/>
      <c r="I31" s="42" t="n"/>
      <c r="J31" s="42" t="n"/>
      <c r="K31" s="42" t="n"/>
      <c r="L31" s="42" t="n"/>
    </row>
    <row r="32" ht="15" customHeight="1" s="24">
      <c r="A32" s="42" t="n"/>
      <c r="B32" s="43" t="n"/>
      <c r="C32" s="42" t="n"/>
      <c r="D32" s="42" t="n"/>
      <c r="E32" s="42" t="n"/>
      <c r="F32" s="42" t="n"/>
      <c r="G32" s="42" t="n"/>
      <c r="H32" s="42" t="n"/>
      <c r="I32" s="42" t="n"/>
      <c r="J32" s="42" t="n"/>
      <c r="K32" s="42" t="n"/>
      <c r="L32" s="42" t="n"/>
    </row>
    <row r="33" ht="15" customHeight="1" s="24">
      <c r="A33" s="42" t="n"/>
      <c r="B33" s="43" t="n"/>
      <c r="C33" s="42" t="n"/>
      <c r="D33" s="42" t="n"/>
      <c r="E33" s="42" t="n"/>
      <c r="F33" s="42" t="n"/>
      <c r="G33" s="42" t="n"/>
      <c r="H33" s="42" t="n"/>
      <c r="I33" s="42" t="n"/>
      <c r="J33" s="42" t="n"/>
      <c r="K33" s="42" t="n"/>
      <c r="L33" s="42" t="n"/>
    </row>
    <row r="34" ht="15" customHeight="1" s="24">
      <c r="A34" s="42" t="n"/>
      <c r="B34" s="43" t="n"/>
      <c r="C34" s="42" t="n"/>
      <c r="D34" s="42" t="n"/>
      <c r="E34" s="42" t="n"/>
      <c r="F34" s="42" t="n"/>
      <c r="G34" s="42" t="n"/>
      <c r="H34" s="42" t="n"/>
      <c r="I34" s="42" t="n"/>
      <c r="J34" s="42" t="n"/>
      <c r="K34" s="42" t="n"/>
      <c r="L34" s="42" t="n"/>
    </row>
    <row r="35" ht="15" customHeight="1" s="24">
      <c r="A35" s="42" t="n"/>
      <c r="B35" s="43" t="n"/>
      <c r="C35" s="42" t="n"/>
      <c r="D35" s="42" t="n"/>
      <c r="E35" s="42" t="n"/>
      <c r="F35" s="42" t="n"/>
      <c r="G35" s="42" t="n"/>
      <c r="H35" s="42" t="n"/>
      <c r="I35" s="42" t="n"/>
      <c r="J35" s="42" t="n"/>
      <c r="K35" s="42" t="n"/>
      <c r="L35" s="42" t="n"/>
    </row>
    <row r="36" ht="15" customHeight="1" s="24">
      <c r="A36" s="42" t="n"/>
      <c r="B36" s="43" t="n"/>
      <c r="C36" s="42" t="n"/>
      <c r="D36" s="42" t="n"/>
      <c r="E36" s="42" t="n"/>
      <c r="F36" s="42" t="n"/>
      <c r="G36" s="42" t="n"/>
      <c r="H36" s="42" t="n"/>
      <c r="I36" s="42" t="n"/>
      <c r="J36" s="42" t="n"/>
      <c r="K36" s="42" t="n"/>
      <c r="L36" s="42" t="n"/>
    </row>
    <row r="37" ht="15" customHeight="1" s="24">
      <c r="A37" s="42" t="n"/>
      <c r="B37" s="43" t="n"/>
      <c r="C37" s="42" t="n"/>
      <c r="D37" s="42" t="n"/>
      <c r="E37" s="42" t="n"/>
      <c r="F37" s="42" t="n"/>
      <c r="G37" s="42" t="n"/>
      <c r="H37" s="42" t="n"/>
      <c r="I37" s="42" t="n"/>
      <c r="J37" s="42" t="n"/>
      <c r="K37" s="42" t="n"/>
      <c r="L37" s="42" t="n"/>
    </row>
    <row r="38" ht="15" customHeight="1" s="24">
      <c r="A38" s="42" t="n"/>
      <c r="B38" s="43" t="n"/>
      <c r="C38" s="42" t="n"/>
      <c r="D38" s="42" t="n"/>
      <c r="E38" s="42" t="n"/>
      <c r="F38" s="42" t="n"/>
      <c r="G38" s="42" t="n"/>
      <c r="H38" s="42" t="n"/>
      <c r="I38" s="42" t="n"/>
      <c r="J38" s="42" t="n"/>
      <c r="K38" s="42" t="n"/>
      <c r="L38" s="42" t="n"/>
    </row>
    <row r="39" ht="15" customHeight="1" s="24">
      <c r="A39" s="42" t="n"/>
      <c r="B39" s="43" t="n"/>
      <c r="C39" s="42" t="n"/>
      <c r="D39" s="42" t="n"/>
      <c r="E39" s="42" t="n"/>
      <c r="F39" s="42" t="n"/>
      <c r="G39" s="42" t="n"/>
      <c r="H39" s="42" t="n"/>
      <c r="I39" s="42" t="n"/>
      <c r="J39" s="42" t="n"/>
      <c r="K39" s="42" t="n"/>
      <c r="L39" s="42" t="n"/>
    </row>
    <row r="40" ht="15" customHeight="1" s="24">
      <c r="A40" s="42" t="n"/>
      <c r="B40" s="43" t="n"/>
      <c r="C40" s="42" t="n"/>
      <c r="D40" s="42" t="n"/>
      <c r="E40" s="42" t="n"/>
      <c r="F40" s="42" t="n"/>
      <c r="G40" s="42" t="n"/>
      <c r="H40" s="42" t="n"/>
      <c r="I40" s="42" t="n"/>
      <c r="J40" s="42" t="n"/>
      <c r="K40" s="42" t="n"/>
      <c r="L40" s="42" t="n"/>
    </row>
    <row r="41" ht="15" customHeight="1" s="24">
      <c r="A41" s="42" t="n"/>
      <c r="B41" s="43" t="n"/>
      <c r="C41" s="42" t="n"/>
      <c r="D41" s="42" t="n"/>
      <c r="E41" s="42" t="n"/>
      <c r="F41" s="42" t="n"/>
      <c r="G41" s="42" t="n"/>
      <c r="H41" s="42" t="n"/>
      <c r="I41" s="42" t="n"/>
      <c r="J41" s="42" t="n"/>
      <c r="K41" s="42" t="n"/>
      <c r="L41" s="42" t="n"/>
    </row>
    <row r="42" ht="15" customHeight="1" s="24">
      <c r="A42" s="42" t="n"/>
      <c r="B42" s="43" t="n"/>
      <c r="C42" s="42" t="n"/>
      <c r="D42" s="42" t="n"/>
      <c r="E42" s="42" t="n"/>
      <c r="F42" s="42" t="n"/>
      <c r="G42" s="42" t="n"/>
      <c r="H42" s="42" t="n"/>
      <c r="I42" s="42" t="n"/>
      <c r="J42" s="42" t="n"/>
      <c r="K42" s="42" t="n"/>
      <c r="L42" s="42" t="n"/>
    </row>
    <row r="43" ht="15" customHeight="1" s="24">
      <c r="A43" s="42" t="n"/>
      <c r="B43" s="43" t="n"/>
      <c r="C43" s="42" t="n"/>
      <c r="D43" s="42" t="n"/>
      <c r="E43" s="42" t="n"/>
      <c r="F43" s="42" t="n"/>
      <c r="G43" s="42" t="n"/>
      <c r="H43" s="42" t="n"/>
      <c r="I43" s="42" t="n"/>
      <c r="J43" s="42" t="n"/>
      <c r="K43" s="42" t="n"/>
      <c r="L43" s="42" t="n"/>
    </row>
    <row r="44" ht="15" customHeight="1" s="24">
      <c r="A44" s="42" t="n"/>
      <c r="B44" s="43" t="n"/>
      <c r="C44" s="42" t="n"/>
      <c r="D44" s="42" t="n"/>
      <c r="E44" s="42" t="n"/>
      <c r="F44" s="42" t="n"/>
      <c r="G44" s="42" t="n"/>
      <c r="H44" s="42" t="n"/>
      <c r="I44" s="42" t="n"/>
      <c r="J44" s="42" t="n"/>
      <c r="K44" s="42" t="n"/>
      <c r="L44" s="42" t="n"/>
    </row>
    <row r="45" ht="15" customHeight="1" s="24">
      <c r="A45" s="42" t="n"/>
      <c r="B45" s="43" t="n"/>
      <c r="C45" s="42" t="n"/>
      <c r="D45" s="42" t="n"/>
      <c r="E45" s="42" t="n"/>
      <c r="F45" s="42" t="n"/>
      <c r="G45" s="42" t="n"/>
      <c r="H45" s="42" t="n"/>
      <c r="I45" s="42" t="n"/>
      <c r="J45" s="42" t="n"/>
      <c r="K45" s="42" t="n"/>
      <c r="L45" s="42" t="n"/>
    </row>
    <row r="46" ht="15" customHeight="1" s="24">
      <c r="A46" s="42" t="n"/>
      <c r="B46" s="43" t="n"/>
      <c r="C46" s="42" t="n"/>
      <c r="D46" s="42" t="n"/>
      <c r="E46" s="42" t="n"/>
      <c r="F46" s="42" t="n"/>
      <c r="G46" s="42" t="n"/>
      <c r="H46" s="42" t="n"/>
      <c r="I46" s="42" t="n"/>
      <c r="J46" s="42" t="n"/>
      <c r="K46" s="42" t="n"/>
      <c r="L46" s="42" t="n"/>
    </row>
    <row r="47" ht="15" customHeight="1" s="24">
      <c r="A47" s="42" t="n"/>
      <c r="B47" s="43" t="n"/>
      <c r="C47" s="42" t="n"/>
      <c r="D47" s="42" t="n"/>
      <c r="E47" s="42" t="n"/>
      <c r="F47" s="42" t="n"/>
      <c r="G47" s="42" t="n"/>
      <c r="H47" s="42" t="n"/>
      <c r="I47" s="42" t="n"/>
      <c r="J47" s="42" t="n"/>
      <c r="K47" s="42" t="n"/>
      <c r="L47" s="42" t="n"/>
    </row>
    <row r="48" ht="15" customHeight="1" s="24">
      <c r="A48" s="42" t="n"/>
      <c r="B48" s="43" t="n"/>
      <c r="C48" s="42" t="n"/>
      <c r="D48" s="42" t="n"/>
      <c r="E48" s="42" t="n"/>
      <c r="F48" s="42" t="n"/>
      <c r="G48" s="42" t="n"/>
      <c r="H48" s="42" t="n"/>
      <c r="I48" s="42" t="n"/>
      <c r="J48" s="42" t="n"/>
      <c r="K48" s="42" t="n"/>
      <c r="L48" s="42" t="n"/>
    </row>
    <row r="49" ht="15" customHeight="1" s="24">
      <c r="A49" s="42" t="n"/>
      <c r="B49" s="43" t="n"/>
      <c r="C49" s="42" t="n"/>
      <c r="D49" s="42" t="n"/>
      <c r="E49" s="42" t="n"/>
      <c r="F49" s="42" t="n"/>
      <c r="G49" s="42" t="n"/>
      <c r="H49" s="42" t="n"/>
      <c r="I49" s="42" t="n"/>
      <c r="J49" s="42" t="n"/>
      <c r="K49" s="42" t="n"/>
      <c r="L49" s="42" t="n"/>
    </row>
    <row r="50" ht="15" customHeight="1" s="24">
      <c r="A50" s="42" t="n"/>
      <c r="B50" s="43" t="n"/>
      <c r="C50" s="42" t="n"/>
      <c r="D50" s="42" t="n"/>
      <c r="E50" s="42" t="n"/>
      <c r="F50" s="42" t="n"/>
      <c r="G50" s="42" t="n"/>
      <c r="H50" s="42" t="n"/>
      <c r="I50" s="42" t="n"/>
      <c r="J50" s="42" t="n"/>
      <c r="K50" s="42" t="n"/>
      <c r="L50" s="42" t="n"/>
    </row>
    <row r="51" ht="15" customHeight="1" s="24">
      <c r="A51" s="42" t="n"/>
      <c r="B51" s="43" t="n"/>
      <c r="C51" s="42" t="n"/>
      <c r="D51" s="42" t="n"/>
      <c r="E51" s="42" t="n"/>
      <c r="F51" s="42" t="n"/>
      <c r="G51" s="42" t="n"/>
      <c r="H51" s="42" t="n"/>
      <c r="I51" s="42" t="n"/>
      <c r="J51" s="42" t="n"/>
      <c r="K51" s="42" t="n"/>
      <c r="L51" s="42" t="n"/>
    </row>
    <row r="52" ht="15" customHeight="1" s="24">
      <c r="A52" s="42" t="n"/>
      <c r="B52" s="43" t="n"/>
      <c r="C52" s="42" t="n"/>
      <c r="D52" s="42" t="n"/>
      <c r="E52" s="42" t="n"/>
      <c r="F52" s="42" t="n"/>
      <c r="G52" s="42" t="n"/>
      <c r="H52" s="42" t="n"/>
      <c r="I52" s="42" t="n"/>
      <c r="J52" s="42" t="n"/>
      <c r="K52" s="42" t="n"/>
      <c r="L52" s="42" t="n"/>
    </row>
    <row r="53" ht="15" customHeight="1" s="24">
      <c r="A53" s="42" t="n"/>
      <c r="B53" s="43" t="n"/>
      <c r="C53" s="42" t="n"/>
      <c r="D53" s="42" t="n"/>
      <c r="E53" s="42" t="n"/>
      <c r="F53" s="42" t="n"/>
      <c r="G53" s="42" t="n"/>
      <c r="H53" s="42" t="n"/>
      <c r="I53" s="42" t="n"/>
      <c r="J53" s="42" t="n"/>
      <c r="K53" s="42" t="n"/>
      <c r="L53" s="42" t="n"/>
    </row>
    <row r="54" ht="15" customHeight="1" s="24">
      <c r="A54" s="42" t="n"/>
      <c r="B54" s="43" t="n"/>
      <c r="C54" s="42" t="n"/>
      <c r="D54" s="42" t="n"/>
      <c r="E54" s="42" t="n"/>
      <c r="F54" s="42" t="n"/>
      <c r="G54" s="42" t="n"/>
      <c r="H54" s="42" t="n"/>
      <c r="I54" s="42" t="n"/>
      <c r="J54" s="42" t="n"/>
      <c r="K54" s="42" t="n"/>
      <c r="L54" s="42" t="n"/>
    </row>
    <row r="55" ht="15" customHeight="1" s="24">
      <c r="A55" s="42" t="n"/>
      <c r="B55" s="43" t="n"/>
      <c r="C55" s="42" t="n"/>
      <c r="D55" s="42" t="n"/>
      <c r="E55" s="42" t="n"/>
      <c r="F55" s="42" t="n"/>
      <c r="G55" s="42" t="n"/>
      <c r="H55" s="42" t="n"/>
      <c r="I55" s="42" t="n"/>
      <c r="J55" s="42" t="n"/>
      <c r="K55" s="42" t="n"/>
      <c r="L55" s="42" t="n"/>
    </row>
    <row r="56" ht="15" customHeight="1" s="24">
      <c r="A56" s="42" t="n"/>
      <c r="B56" s="43" t="n"/>
      <c r="C56" s="42" t="n"/>
      <c r="D56" s="42" t="n"/>
      <c r="E56" s="42" t="n"/>
      <c r="F56" s="42" t="n"/>
      <c r="G56" s="42" t="n"/>
      <c r="H56" s="42" t="n"/>
      <c r="I56" s="42" t="n"/>
      <c r="J56" s="42" t="n"/>
      <c r="K56" s="42" t="n"/>
      <c r="L56" s="42" t="n"/>
    </row>
    <row r="57" ht="15" customHeight="1" s="24">
      <c r="A57" s="42" t="n"/>
      <c r="B57" s="43" t="n"/>
      <c r="C57" s="42" t="n"/>
      <c r="D57" s="42" t="n"/>
      <c r="E57" s="42" t="n"/>
      <c r="F57" s="42" t="n"/>
      <c r="G57" s="42" t="n"/>
      <c r="H57" s="42" t="n"/>
      <c r="I57" s="42" t="n"/>
      <c r="J57" s="42" t="n"/>
      <c r="K57" s="42" t="n"/>
      <c r="L57" s="42" t="n"/>
    </row>
    <row r="58" ht="15" customHeight="1" s="24">
      <c r="A58" s="42" t="n"/>
      <c r="B58" s="43" t="n"/>
      <c r="C58" s="42" t="n"/>
      <c r="D58" s="42" t="n"/>
      <c r="E58" s="42" t="n"/>
      <c r="F58" s="42" t="n"/>
      <c r="G58" s="42" t="n"/>
      <c r="H58" s="42" t="n"/>
      <c r="I58" s="42" t="n"/>
      <c r="J58" s="42" t="n"/>
      <c r="K58" s="42" t="n"/>
      <c r="L58" s="42" t="n"/>
    </row>
    <row r="59" ht="15" customHeight="1" s="24">
      <c r="A59" s="42" t="n"/>
      <c r="B59" s="43" t="n"/>
      <c r="C59" s="42" t="n"/>
      <c r="D59" s="42" t="n"/>
      <c r="E59" s="42" t="n"/>
      <c r="F59" s="42" t="n"/>
      <c r="G59" s="42" t="n"/>
      <c r="H59" s="42" t="n"/>
      <c r="I59" s="42" t="n"/>
      <c r="J59" s="42" t="n"/>
      <c r="K59" s="42" t="n"/>
      <c r="L59" s="42" t="n"/>
    </row>
    <row r="60" ht="15" customHeight="1" s="24">
      <c r="A60" s="42" t="n"/>
      <c r="B60" s="43" t="n"/>
      <c r="C60" s="42" t="n"/>
      <c r="D60" s="42" t="n"/>
      <c r="E60" s="42" t="n"/>
      <c r="F60" s="42" t="n"/>
      <c r="G60" s="42" t="n"/>
      <c r="H60" s="42" t="n"/>
      <c r="I60" s="42" t="n"/>
      <c r="J60" s="42" t="n"/>
      <c r="K60" s="42" t="n"/>
      <c r="L60" s="42" t="n"/>
    </row>
    <row r="61" ht="15" customHeight="1" s="24">
      <c r="A61" s="42" t="n"/>
      <c r="B61" s="43" t="n"/>
      <c r="C61" s="42" t="n"/>
      <c r="D61" s="42" t="n"/>
      <c r="E61" s="42" t="n"/>
      <c r="F61" s="42" t="n"/>
      <c r="G61" s="42" t="n"/>
      <c r="H61" s="42" t="n"/>
      <c r="I61" s="42" t="n"/>
      <c r="J61" s="42" t="n"/>
      <c r="K61" s="42" t="n"/>
      <c r="L61" s="42" t="n"/>
    </row>
    <row r="62" ht="15" customHeight="1" s="24">
      <c r="A62" s="42" t="n"/>
      <c r="B62" s="43" t="n"/>
      <c r="C62" s="42" t="n"/>
      <c r="D62" s="42" t="n"/>
      <c r="E62" s="42" t="n"/>
      <c r="F62" s="42" t="n"/>
      <c r="G62" s="42" t="n"/>
      <c r="H62" s="42" t="n"/>
      <c r="I62" s="42" t="n"/>
      <c r="J62" s="42" t="n"/>
      <c r="K62" s="42" t="n"/>
      <c r="L62" s="42" t="n"/>
    </row>
    <row r="63" ht="15" customHeight="1" s="24">
      <c r="A63" s="42" t="n"/>
      <c r="B63" s="43" t="n"/>
      <c r="C63" s="42" t="n"/>
      <c r="D63" s="42" t="n"/>
      <c r="E63" s="42" t="n"/>
      <c r="F63" s="42" t="n"/>
      <c r="G63" s="42" t="n"/>
      <c r="H63" s="42" t="n"/>
      <c r="I63" s="42" t="n"/>
      <c r="J63" s="42" t="n"/>
      <c r="K63" s="42" t="n"/>
      <c r="L63" s="42" t="n"/>
    </row>
    <row r="64" ht="15" customHeight="1" s="24">
      <c r="A64" s="42" t="n"/>
      <c r="B64" s="43" t="n"/>
      <c r="C64" s="42" t="n"/>
      <c r="D64" s="42" t="n"/>
      <c r="E64" s="42" t="n"/>
      <c r="F64" s="42" t="n"/>
      <c r="G64" s="42" t="n"/>
      <c r="H64" s="42" t="n"/>
      <c r="I64" s="42" t="n"/>
      <c r="J64" s="42" t="n"/>
      <c r="K64" s="42" t="n"/>
      <c r="L64" s="42" t="n"/>
    </row>
    <row r="65" ht="15" customHeight="1" s="24">
      <c r="A65" s="42" t="n"/>
      <c r="B65" s="43" t="n"/>
      <c r="C65" s="42" t="n"/>
      <c r="D65" s="42" t="n"/>
      <c r="E65" s="42" t="n"/>
      <c r="F65" s="42" t="n"/>
      <c r="G65" s="42" t="n"/>
      <c r="H65" s="42" t="n"/>
      <c r="I65" s="42" t="n"/>
      <c r="J65" s="42" t="n"/>
      <c r="K65" s="42" t="n"/>
      <c r="L65" s="42" t="n"/>
    </row>
    <row r="66" ht="15" customHeight="1" s="24">
      <c r="A66" s="42" t="n"/>
      <c r="B66" s="43" t="n"/>
      <c r="C66" s="42" t="n"/>
      <c r="D66" s="42" t="n"/>
      <c r="E66" s="42" t="n"/>
      <c r="F66" s="42" t="n"/>
      <c r="G66" s="42" t="n"/>
      <c r="H66" s="42" t="n"/>
      <c r="I66" s="42" t="n"/>
      <c r="J66" s="42" t="n"/>
      <c r="K66" s="42" t="n"/>
      <c r="L66" s="42" t="n"/>
    </row>
    <row r="67" ht="15" customHeight="1" s="24">
      <c r="A67" s="42" t="n"/>
      <c r="B67" s="43" t="n"/>
      <c r="C67" s="42" t="n"/>
      <c r="D67" s="42" t="n"/>
      <c r="E67" s="42" t="n"/>
      <c r="F67" s="42" t="n"/>
      <c r="G67" s="42" t="n"/>
      <c r="H67" s="42" t="n"/>
      <c r="I67" s="42" t="n"/>
      <c r="J67" s="42" t="n"/>
      <c r="K67" s="42" t="n"/>
      <c r="L67" s="42" t="n"/>
    </row>
    <row r="68" ht="15" customHeight="1" s="24">
      <c r="A68" s="42" t="n"/>
      <c r="B68" s="43" t="n"/>
      <c r="C68" s="42" t="n"/>
      <c r="D68" s="42" t="n"/>
      <c r="E68" s="42" t="n"/>
      <c r="F68" s="42" t="n"/>
      <c r="G68" s="42" t="n"/>
      <c r="H68" s="42" t="n"/>
      <c r="I68" s="42" t="n"/>
      <c r="J68" s="42" t="n"/>
      <c r="K68" s="42" t="n"/>
      <c r="L68" s="42" t="n"/>
    </row>
    <row r="69" ht="15" customHeight="1" s="24">
      <c r="A69" s="42" t="n"/>
      <c r="B69" s="43" t="n"/>
      <c r="C69" s="42" t="n"/>
      <c r="D69" s="42" t="n"/>
      <c r="E69" s="42" t="n"/>
      <c r="F69" s="42" t="n"/>
      <c r="G69" s="42" t="n"/>
      <c r="H69" s="42" t="n"/>
      <c r="I69" s="42" t="n"/>
      <c r="J69" s="42" t="n"/>
      <c r="K69" s="42" t="n"/>
      <c r="L69" s="42" t="n"/>
    </row>
    <row r="70" ht="15" customHeight="1" s="24">
      <c r="A70" s="42" t="n"/>
      <c r="B70" s="43" t="n"/>
      <c r="C70" s="42" t="n"/>
      <c r="D70" s="42" t="n"/>
      <c r="E70" s="42" t="n"/>
      <c r="F70" s="42" t="n"/>
      <c r="G70" s="42" t="n"/>
      <c r="H70" s="42" t="n"/>
      <c r="I70" s="42" t="n"/>
      <c r="J70" s="42" t="n"/>
      <c r="K70" s="42" t="n"/>
      <c r="L70" s="42" t="n"/>
    </row>
    <row r="71" ht="15" customHeight="1" s="24">
      <c r="A71" s="42" t="n"/>
      <c r="B71" s="43" t="n"/>
      <c r="C71" s="42" t="n"/>
      <c r="D71" s="42" t="n"/>
      <c r="E71" s="42" t="n"/>
      <c r="F71" s="42" t="n"/>
      <c r="G71" s="42" t="n"/>
      <c r="H71" s="42" t="n"/>
      <c r="I71" s="42" t="n"/>
      <c r="J71" s="42" t="n"/>
      <c r="K71" s="42" t="n"/>
      <c r="L71" s="42" t="n"/>
    </row>
    <row r="72" ht="15" customHeight="1" s="24">
      <c r="A72" s="42" t="n"/>
      <c r="B72" s="43" t="n"/>
      <c r="C72" s="42" t="n"/>
      <c r="D72" s="42" t="n"/>
      <c r="E72" s="42" t="n"/>
      <c r="F72" s="42" t="n"/>
      <c r="G72" s="42" t="n"/>
      <c r="H72" s="42" t="n"/>
      <c r="I72" s="42" t="n"/>
      <c r="J72" s="42" t="n"/>
      <c r="K72" s="42" t="n"/>
      <c r="L72" s="42" t="n"/>
    </row>
    <row r="73" ht="15" customHeight="1" s="24">
      <c r="A73" s="42" t="n"/>
      <c r="B73" s="43" t="n"/>
      <c r="C73" s="42" t="n"/>
      <c r="D73" s="42" t="n"/>
      <c r="E73" s="42" t="n"/>
      <c r="F73" s="42" t="n"/>
      <c r="G73" s="42" t="n"/>
      <c r="H73" s="42" t="n"/>
      <c r="I73" s="42" t="n"/>
      <c r="J73" s="42" t="n"/>
      <c r="K73" s="42" t="n"/>
      <c r="L73" s="42" t="n"/>
    </row>
    <row r="74" ht="15" customHeight="1" s="24">
      <c r="A74" s="42" t="n"/>
      <c r="B74" s="43" t="n"/>
      <c r="C74" s="42" t="n"/>
      <c r="D74" s="42" t="n"/>
      <c r="E74" s="42" t="n"/>
      <c r="F74" s="42" t="n"/>
      <c r="G74" s="42" t="n"/>
      <c r="H74" s="42" t="n"/>
      <c r="I74" s="42" t="n"/>
      <c r="J74" s="42" t="n"/>
      <c r="K74" s="42" t="n"/>
      <c r="L74" s="42" t="n"/>
    </row>
    <row r="75" ht="15" customHeight="1" s="24">
      <c r="A75" s="42" t="n"/>
      <c r="B75" s="43" t="n"/>
      <c r="C75" s="42" t="n"/>
      <c r="D75" s="42" t="n"/>
      <c r="E75" s="42" t="n"/>
      <c r="F75" s="42" t="n"/>
      <c r="G75" s="42" t="n"/>
      <c r="H75" s="42" t="n"/>
      <c r="I75" s="42" t="n"/>
      <c r="J75" s="42" t="n"/>
      <c r="K75" s="42" t="n"/>
      <c r="L75" s="42" t="n"/>
    </row>
    <row r="76" ht="15" customHeight="1" s="24">
      <c r="A76" s="42" t="n"/>
      <c r="B76" s="43" t="n"/>
      <c r="C76" s="42" t="n"/>
      <c r="D76" s="42" t="n"/>
      <c r="E76" s="42" t="n"/>
      <c r="F76" s="42" t="n"/>
      <c r="G76" s="42" t="n"/>
      <c r="H76" s="42" t="n"/>
      <c r="I76" s="42" t="n"/>
      <c r="J76" s="42" t="n"/>
      <c r="K76" s="42" t="n"/>
      <c r="L76" s="42" t="n"/>
    </row>
    <row r="77" ht="15" customHeight="1" s="24">
      <c r="A77" s="42" t="n"/>
      <c r="B77" s="43" t="n"/>
      <c r="C77" s="42" t="n"/>
      <c r="D77" s="42" t="n"/>
      <c r="E77" s="42" t="n"/>
      <c r="F77" s="42" t="n"/>
      <c r="G77" s="42" t="n"/>
      <c r="H77" s="42" t="n"/>
      <c r="I77" s="42" t="n"/>
      <c r="J77" s="42" t="n"/>
      <c r="K77" s="42" t="n"/>
      <c r="L77" s="42" t="n"/>
    </row>
    <row r="78" ht="15" customHeight="1" s="24">
      <c r="A78" s="42" t="n"/>
      <c r="B78" s="43" t="n"/>
      <c r="C78" s="42" t="n"/>
      <c r="D78" s="42" t="n"/>
      <c r="E78" s="42" t="n"/>
      <c r="F78" s="42" t="n"/>
      <c r="G78" s="42" t="n"/>
      <c r="H78" s="42" t="n"/>
      <c r="I78" s="42" t="n"/>
      <c r="J78" s="42" t="n"/>
      <c r="K78" s="42" t="n"/>
      <c r="L78" s="42" t="n"/>
    </row>
    <row r="79" ht="15" customHeight="1" s="24">
      <c r="A79" s="42" t="n"/>
      <c r="B79" s="43" t="n"/>
      <c r="C79" s="42" t="n"/>
      <c r="D79" s="42" t="n"/>
      <c r="E79" s="42" t="n"/>
      <c r="F79" s="42" t="n"/>
      <c r="G79" s="42" t="n"/>
      <c r="H79" s="42" t="n"/>
      <c r="I79" s="42" t="n"/>
      <c r="J79" s="42" t="n"/>
      <c r="K79" s="42" t="n"/>
      <c r="L79" s="42" t="n"/>
    </row>
    <row r="80" ht="15" customHeight="1" s="24">
      <c r="A80" s="42" t="n"/>
      <c r="B80" s="43" t="n"/>
      <c r="C80" s="42" t="n"/>
      <c r="D80" s="42" t="n"/>
      <c r="E80" s="42" t="n"/>
      <c r="F80" s="42" t="n"/>
      <c r="G80" s="42" t="n"/>
      <c r="H80" s="42" t="n"/>
      <c r="I80" s="42" t="n"/>
      <c r="J80" s="42" t="n"/>
      <c r="K80" s="42" t="n"/>
      <c r="L80" s="42" t="n"/>
    </row>
    <row r="81" ht="15" customHeight="1" s="24">
      <c r="A81" s="42" t="n"/>
      <c r="B81" s="43" t="n"/>
      <c r="C81" s="42" t="n"/>
      <c r="D81" s="42" t="n"/>
      <c r="E81" s="42" t="n"/>
      <c r="F81" s="42" t="n"/>
      <c r="G81" s="42" t="n"/>
      <c r="H81" s="42" t="n"/>
      <c r="I81" s="42" t="n"/>
      <c r="J81" s="42" t="n"/>
      <c r="K81" s="42" t="n"/>
      <c r="L81" s="42" t="n"/>
    </row>
    <row r="82" ht="15" customHeight="1" s="24">
      <c r="A82" s="42" t="n"/>
      <c r="B82" s="43" t="n"/>
      <c r="C82" s="42" t="n"/>
      <c r="D82" s="42" t="n"/>
      <c r="E82" s="42" t="n"/>
      <c r="F82" s="42" t="n"/>
      <c r="G82" s="42" t="n"/>
      <c r="H82" s="42" t="n"/>
      <c r="I82" s="42" t="n"/>
      <c r="J82" s="42" t="n"/>
      <c r="K82" s="42" t="n"/>
      <c r="L82" s="42" t="n"/>
    </row>
    <row r="83" ht="15" customHeight="1" s="24">
      <c r="A83" s="42" t="n"/>
      <c r="B83" s="43" t="n"/>
      <c r="C83" s="42" t="n"/>
      <c r="D83" s="42" t="n"/>
      <c r="E83" s="42" t="n"/>
      <c r="F83" s="42" t="n"/>
      <c r="G83" s="42" t="n"/>
      <c r="H83" s="42" t="n"/>
      <c r="I83" s="42" t="n"/>
      <c r="J83" s="42" t="n"/>
      <c r="K83" s="42" t="n"/>
      <c r="L83" s="42" t="n"/>
    </row>
    <row r="84" ht="15" customHeight="1" s="24">
      <c r="A84" s="42" t="n"/>
      <c r="B84" s="43" t="n"/>
      <c r="C84" s="42" t="n"/>
      <c r="D84" s="42" t="n"/>
      <c r="E84" s="42" t="n"/>
      <c r="F84" s="42" t="n"/>
      <c r="G84" s="42" t="n"/>
      <c r="H84" s="42" t="n"/>
      <c r="I84" s="42" t="n"/>
      <c r="J84" s="42" t="n"/>
      <c r="K84" s="42" t="n"/>
      <c r="L84" s="42" t="n"/>
    </row>
    <row r="85" ht="15" customHeight="1" s="24">
      <c r="A85" s="42" t="n"/>
      <c r="B85" s="43" t="n"/>
      <c r="C85" s="42" t="n"/>
      <c r="D85" s="42" t="n"/>
      <c r="E85" s="42" t="n"/>
      <c r="F85" s="42" t="n"/>
      <c r="G85" s="42" t="n"/>
      <c r="H85" s="42" t="n"/>
      <c r="I85" s="42" t="n"/>
      <c r="J85" s="42" t="n"/>
      <c r="K85" s="42" t="n"/>
      <c r="L85" s="42" t="n"/>
    </row>
    <row r="86" ht="15" customHeight="1" s="24">
      <c r="A86" s="42" t="n"/>
      <c r="B86" s="43" t="n"/>
      <c r="C86" s="42" t="n"/>
      <c r="D86" s="42" t="n"/>
      <c r="E86" s="42" t="n"/>
      <c r="F86" s="42" t="n"/>
      <c r="G86" s="42" t="n"/>
      <c r="H86" s="42" t="n"/>
      <c r="I86" s="42" t="n"/>
      <c r="J86" s="42" t="n"/>
      <c r="K86" s="42" t="n"/>
      <c r="L86" s="42" t="n"/>
    </row>
    <row r="87" ht="15" customHeight="1" s="24">
      <c r="A87" s="42" t="n"/>
      <c r="B87" s="43" t="n"/>
      <c r="C87" s="42" t="n"/>
      <c r="D87" s="42" t="n"/>
      <c r="E87" s="42" t="n"/>
      <c r="F87" s="42" t="n"/>
      <c r="G87" s="42" t="n"/>
      <c r="H87" s="42" t="n"/>
      <c r="I87" s="42" t="n"/>
      <c r="J87" s="42" t="n"/>
      <c r="K87" s="42" t="n"/>
      <c r="L87" s="42" t="n"/>
    </row>
    <row r="88" ht="15" customHeight="1" s="24">
      <c r="A88" s="42" t="n"/>
      <c r="B88" s="43" t="n"/>
      <c r="C88" s="42" t="n"/>
      <c r="D88" s="42" t="n"/>
      <c r="E88" s="42" t="n"/>
      <c r="F88" s="42" t="n"/>
      <c r="G88" s="42" t="n"/>
      <c r="H88" s="42" t="n"/>
      <c r="I88" s="42" t="n"/>
      <c r="J88" s="42" t="n"/>
      <c r="K88" s="42" t="n"/>
      <c r="L88" s="42" t="n"/>
    </row>
    <row r="89" ht="15" customHeight="1" s="24">
      <c r="A89" s="42" t="n"/>
      <c r="B89" s="43" t="n"/>
      <c r="C89" s="42" t="n"/>
      <c r="D89" s="42" t="n"/>
      <c r="E89" s="42" t="n"/>
      <c r="F89" s="42" t="n"/>
      <c r="G89" s="42" t="n"/>
      <c r="H89" s="42" t="n"/>
      <c r="I89" s="42" t="n"/>
      <c r="J89" s="42" t="n"/>
      <c r="K89" s="42" t="n"/>
      <c r="L89" s="42" t="n"/>
    </row>
    <row r="90" ht="15" customHeight="1" s="24">
      <c r="A90" s="42" t="n"/>
      <c r="B90" s="43" t="n"/>
      <c r="C90" s="42" t="n"/>
      <c r="D90" s="42" t="n"/>
      <c r="E90" s="42" t="n"/>
      <c r="F90" s="42" t="n"/>
      <c r="G90" s="42" t="n"/>
      <c r="H90" s="42" t="n"/>
      <c r="I90" s="42" t="n"/>
      <c r="J90" s="42" t="n"/>
      <c r="K90" s="42" t="n"/>
      <c r="L90" s="42" t="n"/>
    </row>
    <row r="91" ht="15" customHeight="1" s="24">
      <c r="A91" s="42" t="n"/>
      <c r="B91" s="43" t="n"/>
      <c r="C91" s="42" t="n"/>
      <c r="D91" s="42" t="n"/>
      <c r="E91" s="42" t="n"/>
      <c r="F91" s="42" t="n"/>
      <c r="G91" s="42" t="n"/>
      <c r="H91" s="42" t="n"/>
      <c r="I91" s="42" t="n"/>
      <c r="J91" s="42" t="n"/>
      <c r="K91" s="42" t="n"/>
      <c r="L91" s="42" t="n"/>
    </row>
    <row r="92" ht="15" customHeight="1" s="24">
      <c r="A92" s="42" t="n"/>
      <c r="B92" s="43" t="n"/>
      <c r="C92" s="42" t="n"/>
      <c r="D92" s="42" t="n"/>
      <c r="E92" s="42" t="n"/>
      <c r="F92" s="42" t="n"/>
      <c r="G92" s="42" t="n"/>
      <c r="H92" s="42" t="n"/>
      <c r="I92" s="42" t="n"/>
      <c r="J92" s="42" t="n"/>
      <c r="K92" s="42" t="n"/>
      <c r="L92" s="42" t="n"/>
    </row>
    <row r="93" ht="15" customHeight="1" s="24">
      <c r="A93" s="42" t="n"/>
      <c r="B93" s="43" t="n"/>
      <c r="C93" s="42" t="n"/>
      <c r="D93" s="42" t="n"/>
      <c r="E93" s="42" t="n"/>
      <c r="F93" s="42" t="n"/>
      <c r="G93" s="42" t="n"/>
      <c r="H93" s="42" t="n"/>
      <c r="I93" s="42" t="n"/>
      <c r="J93" s="42" t="n"/>
      <c r="K93" s="42" t="n"/>
      <c r="L93" s="42" t="n"/>
    </row>
    <row r="94" ht="15" customHeight="1" s="24">
      <c r="A94" s="42" t="n"/>
      <c r="B94" s="43" t="n"/>
      <c r="C94" s="42" t="n"/>
      <c r="D94" s="42" t="n"/>
      <c r="E94" s="42" t="n"/>
      <c r="F94" s="42" t="n"/>
      <c r="G94" s="42" t="n"/>
      <c r="H94" s="42" t="n"/>
      <c r="I94" s="42" t="n"/>
      <c r="J94" s="42" t="n"/>
      <c r="K94" s="42" t="n"/>
      <c r="L94" s="42" t="n"/>
    </row>
    <row r="95" ht="15" customHeight="1" s="24">
      <c r="A95" s="42" t="n"/>
      <c r="B95" s="43" t="n"/>
      <c r="C95" s="42" t="n"/>
      <c r="D95" s="42" t="n"/>
      <c r="E95" s="42" t="n"/>
      <c r="F95" s="42" t="n"/>
      <c r="G95" s="42" t="n"/>
      <c r="H95" s="42" t="n"/>
      <c r="I95" s="42" t="n"/>
      <c r="J95" s="42" t="n"/>
      <c r="K95" s="42" t="n"/>
      <c r="L95" s="42" t="n"/>
    </row>
    <row r="96" ht="15" customHeight="1" s="24">
      <c r="A96" s="42" t="n"/>
      <c r="B96" s="43" t="n"/>
      <c r="C96" s="42" t="n"/>
      <c r="D96" s="42" t="n"/>
      <c r="E96" s="42" t="n"/>
      <c r="F96" s="42" t="n"/>
      <c r="G96" s="42" t="n"/>
      <c r="H96" s="42" t="n"/>
      <c r="I96" s="42" t="n"/>
      <c r="J96" s="42" t="n"/>
      <c r="K96" s="42" t="n"/>
      <c r="L96" s="42" t="n"/>
    </row>
    <row r="97" ht="15" customHeight="1" s="24">
      <c r="A97" s="42" t="n"/>
      <c r="B97" s="43" t="n"/>
      <c r="C97" s="42" t="n"/>
      <c r="D97" s="42" t="n"/>
      <c r="E97" s="42" t="n"/>
      <c r="F97" s="42" t="n"/>
      <c r="G97" s="42" t="n"/>
      <c r="H97" s="42" t="n"/>
      <c r="I97" s="42" t="n"/>
      <c r="J97" s="42" t="n"/>
      <c r="K97" s="42" t="n"/>
      <c r="L97" s="42" t="n"/>
    </row>
    <row r="98" ht="15" customHeight="1" s="24">
      <c r="A98" s="42" t="n"/>
      <c r="B98" s="43" t="n"/>
      <c r="C98" s="42" t="n"/>
      <c r="D98" s="42" t="n"/>
      <c r="E98" s="42" t="n"/>
      <c r="F98" s="42" t="n"/>
      <c r="G98" s="42" t="n"/>
      <c r="H98" s="42" t="n"/>
      <c r="I98" s="42" t="n"/>
      <c r="J98" s="42" t="n"/>
      <c r="K98" s="42" t="n"/>
      <c r="L98" s="42" t="n"/>
    </row>
    <row r="99" ht="15" customHeight="1" s="24">
      <c r="A99" s="42" t="n"/>
      <c r="B99" s="43" t="n"/>
      <c r="C99" s="42" t="n"/>
      <c r="D99" s="42" t="n"/>
      <c r="E99" s="42" t="n"/>
      <c r="F99" s="42" t="n"/>
      <c r="G99" s="42" t="n"/>
      <c r="H99" s="42" t="n"/>
      <c r="I99" s="42" t="n"/>
      <c r="J99" s="42" t="n"/>
      <c r="K99" s="42" t="n"/>
      <c r="L99" s="42" t="n"/>
    </row>
    <row r="100" ht="15" customHeight="1" s="24">
      <c r="A100" s="42" t="n"/>
      <c r="B100" s="43" t="n"/>
      <c r="C100" s="42" t="n"/>
      <c r="D100" s="42" t="n"/>
      <c r="E100" s="42" t="n"/>
      <c r="F100" s="42" t="n"/>
      <c r="G100" s="42" t="n"/>
      <c r="H100" s="42" t="n"/>
      <c r="I100" s="42" t="n"/>
      <c r="J100" s="42" t="n"/>
      <c r="K100" s="42" t="n"/>
      <c r="L100" s="42" t="n"/>
    </row>
    <row r="101" ht="15" customHeight="1" s="24">
      <c r="A101" s="42" t="n"/>
      <c r="B101" s="43" t="n"/>
      <c r="C101" s="42" t="n"/>
      <c r="D101" s="42" t="n"/>
      <c r="E101" s="42" t="n"/>
      <c r="F101" s="42" t="n"/>
      <c r="G101" s="42" t="n"/>
      <c r="H101" s="42" t="n"/>
      <c r="I101" s="42" t="n"/>
      <c r="J101" s="42" t="n"/>
      <c r="K101" s="42" t="n"/>
      <c r="L101" s="42" t="n"/>
    </row>
    <row r="102" ht="15" customHeight="1" s="24">
      <c r="A102" s="42" t="n"/>
      <c r="B102" s="43" t="n"/>
      <c r="C102" s="42" t="n"/>
      <c r="D102" s="42" t="n"/>
      <c r="E102" s="42" t="n"/>
      <c r="F102" s="42" t="n"/>
      <c r="G102" s="42" t="n"/>
      <c r="H102" s="42" t="n"/>
      <c r="I102" s="42" t="n"/>
      <c r="J102" s="42" t="n"/>
      <c r="K102" s="42" t="n"/>
      <c r="L102" s="42" t="n"/>
    </row>
    <row r="103" ht="15" customHeight="1" s="24">
      <c r="A103" s="42" t="n"/>
      <c r="B103" s="43" t="n"/>
      <c r="C103" s="42" t="n"/>
      <c r="D103" s="42" t="n"/>
      <c r="E103" s="42" t="n"/>
      <c r="F103" s="42" t="n"/>
      <c r="G103" s="42" t="n"/>
      <c r="H103" s="42" t="n"/>
      <c r="I103" s="42" t="n"/>
      <c r="J103" s="42" t="n"/>
      <c r="K103" s="42" t="n"/>
      <c r="L103" s="42" t="n"/>
    </row>
    <row r="104" ht="15" customHeight="1" s="24">
      <c r="A104" s="42" t="n"/>
      <c r="B104" s="43" t="n"/>
      <c r="C104" s="42" t="n"/>
      <c r="D104" s="42" t="n"/>
      <c r="E104" s="42" t="n"/>
      <c r="F104" s="42" t="n"/>
      <c r="G104" s="42" t="n"/>
      <c r="H104" s="42" t="n"/>
      <c r="I104" s="42" t="n"/>
      <c r="J104" s="42" t="n"/>
      <c r="K104" s="42" t="n"/>
      <c r="L104" s="42" t="n"/>
    </row>
    <row r="105" ht="15" customHeight="1" s="24">
      <c r="A105" s="42" t="n"/>
      <c r="B105" s="43" t="n"/>
      <c r="C105" s="42" t="n"/>
      <c r="D105" s="42" t="n"/>
      <c r="E105" s="42" t="n"/>
      <c r="F105" s="42" t="n"/>
      <c r="G105" s="42" t="n"/>
      <c r="H105" s="42" t="n"/>
      <c r="I105" s="42" t="n"/>
      <c r="J105" s="42" t="n"/>
      <c r="K105" s="42" t="n"/>
      <c r="L105" s="42" t="n"/>
    </row>
    <row r="106" ht="15" customHeight="1" s="24">
      <c r="A106" s="42" t="n"/>
      <c r="B106" s="43" t="n"/>
      <c r="C106" s="42" t="n"/>
      <c r="D106" s="42" t="n"/>
      <c r="E106" s="42" t="n"/>
      <c r="F106" s="42" t="n"/>
      <c r="G106" s="42" t="n"/>
      <c r="H106" s="42" t="n"/>
      <c r="I106" s="42" t="n"/>
      <c r="J106" s="42" t="n"/>
      <c r="K106" s="42" t="n"/>
      <c r="L106" s="42" t="n"/>
    </row>
    <row r="107" ht="15" customHeight="1" s="24">
      <c r="A107" s="42" t="n"/>
      <c r="B107" s="43" t="n"/>
      <c r="C107" s="42" t="n"/>
      <c r="D107" s="42" t="n"/>
      <c r="E107" s="42" t="n"/>
      <c r="F107" s="42" t="n"/>
      <c r="G107" s="42" t="n"/>
      <c r="H107" s="42" t="n"/>
      <c r="I107" s="42" t="n"/>
      <c r="J107" s="42" t="n"/>
      <c r="K107" s="42" t="n"/>
      <c r="L107" s="42" t="n"/>
    </row>
    <row r="108" ht="15" customHeight="1" s="24">
      <c r="A108" s="42" t="n"/>
      <c r="B108" s="43" t="n"/>
      <c r="C108" s="42" t="n"/>
      <c r="D108" s="42" t="n"/>
      <c r="E108" s="42" t="n"/>
      <c r="F108" s="42" t="n"/>
      <c r="G108" s="42" t="n"/>
      <c r="H108" s="42" t="n"/>
      <c r="I108" s="42" t="n"/>
      <c r="J108" s="42" t="n"/>
      <c r="K108" s="42" t="n"/>
      <c r="L108" s="42" t="n"/>
    </row>
    <row r="109" ht="15" customHeight="1" s="24">
      <c r="A109" s="42" t="n"/>
      <c r="B109" s="43" t="n"/>
      <c r="C109" s="42" t="n"/>
      <c r="D109" s="42" t="n"/>
      <c r="E109" s="42" t="n"/>
      <c r="F109" s="42" t="n"/>
      <c r="G109" s="42" t="n"/>
      <c r="H109" s="42" t="n"/>
      <c r="I109" s="42" t="n"/>
      <c r="J109" s="42" t="n"/>
      <c r="K109" s="42" t="n"/>
      <c r="L109" s="42" t="n"/>
    </row>
    <row r="110" ht="15" customHeight="1" s="24">
      <c r="A110" s="42" t="n"/>
      <c r="B110" s="43" t="n"/>
      <c r="C110" s="42" t="n"/>
      <c r="D110" s="42" t="n"/>
      <c r="E110" s="42" t="n"/>
      <c r="F110" s="42" t="n"/>
      <c r="G110" s="42" t="n"/>
      <c r="H110" s="42" t="n"/>
      <c r="I110" s="42" t="n"/>
      <c r="J110" s="42" t="n"/>
      <c r="K110" s="42" t="n"/>
      <c r="L110" s="42" t="n"/>
    </row>
    <row r="111" ht="15" customHeight="1" s="24">
      <c r="A111" s="42" t="n"/>
      <c r="B111" s="43" t="n"/>
      <c r="C111" s="42" t="n"/>
      <c r="D111" s="42" t="n"/>
      <c r="E111" s="42" t="n"/>
      <c r="F111" s="42" t="n"/>
      <c r="G111" s="42" t="n"/>
      <c r="H111" s="42" t="n"/>
      <c r="I111" s="42" t="n"/>
      <c r="J111" s="42" t="n"/>
      <c r="K111" s="42" t="n"/>
      <c r="L111" s="42" t="n"/>
    </row>
    <row r="112" ht="15" customHeight="1" s="24">
      <c r="A112" s="42" t="n"/>
      <c r="B112" s="43" t="n"/>
      <c r="C112" s="42" t="n"/>
      <c r="D112" s="42" t="n"/>
      <c r="E112" s="42" t="n"/>
      <c r="F112" s="42" t="n"/>
      <c r="G112" s="42" t="n"/>
      <c r="H112" s="42" t="n"/>
      <c r="I112" s="42" t="n"/>
      <c r="J112" s="42" t="n"/>
      <c r="K112" s="42" t="n"/>
      <c r="L112" s="42" t="n"/>
    </row>
    <row r="113" ht="15" customHeight="1" s="24">
      <c r="A113" s="42" t="n"/>
      <c r="B113" s="43" t="n"/>
      <c r="C113" s="42" t="n"/>
      <c r="D113" s="42" t="n"/>
      <c r="E113" s="42" t="n"/>
      <c r="F113" s="42" t="n"/>
      <c r="G113" s="42" t="n"/>
      <c r="H113" s="42" t="n"/>
      <c r="I113" s="42" t="n"/>
      <c r="J113" s="42" t="n"/>
      <c r="K113" s="42" t="n"/>
      <c r="L113" s="42" t="n"/>
    </row>
    <row r="114" ht="15" customHeight="1" s="24">
      <c r="A114" s="42" t="n"/>
      <c r="B114" s="43" t="n"/>
      <c r="C114" s="42" t="n"/>
      <c r="D114" s="42" t="n"/>
      <c r="E114" s="42" t="n"/>
      <c r="F114" s="42" t="n"/>
      <c r="G114" s="42" t="n"/>
      <c r="H114" s="42" t="n"/>
      <c r="I114" s="42" t="n"/>
      <c r="J114" s="42" t="n"/>
      <c r="K114" s="42" t="n"/>
      <c r="L114" s="42" t="n"/>
    </row>
    <row r="115" ht="15" customHeight="1" s="24">
      <c r="A115" s="42" t="n"/>
      <c r="B115" s="43" t="n"/>
      <c r="C115" s="42" t="n"/>
      <c r="D115" s="42" t="n"/>
      <c r="E115" s="42" t="n"/>
      <c r="F115" s="42" t="n"/>
      <c r="G115" s="42" t="n"/>
      <c r="H115" s="42" t="n"/>
      <c r="I115" s="42" t="n"/>
      <c r="J115" s="42" t="n"/>
      <c r="K115" s="42" t="n"/>
      <c r="L115" s="42" t="n"/>
    </row>
    <row r="116" ht="15" customHeight="1" s="24">
      <c r="A116" s="42" t="n"/>
      <c r="B116" s="43" t="n"/>
      <c r="C116" s="42" t="n"/>
      <c r="D116" s="42" t="n"/>
      <c r="E116" s="42" t="n"/>
      <c r="F116" s="42" t="n"/>
      <c r="G116" s="42" t="n"/>
      <c r="H116" s="42" t="n"/>
      <c r="I116" s="42" t="n"/>
      <c r="J116" s="42" t="n"/>
      <c r="K116" s="42" t="n"/>
      <c r="L116" s="42" t="n"/>
    </row>
    <row r="117" ht="15" customHeight="1" s="24">
      <c r="A117" s="42" t="n"/>
      <c r="B117" s="43" t="n"/>
      <c r="C117" s="42" t="n"/>
      <c r="D117" s="42" t="n"/>
      <c r="E117" s="42" t="n"/>
      <c r="F117" s="42" t="n"/>
      <c r="G117" s="42" t="n"/>
      <c r="H117" s="42" t="n"/>
      <c r="I117" s="42" t="n"/>
      <c r="J117" s="42" t="n"/>
      <c r="K117" s="42" t="n"/>
      <c r="L117" s="42" t="n"/>
    </row>
    <row r="118" ht="15" customHeight="1" s="24">
      <c r="A118" s="42" t="n"/>
      <c r="B118" s="43" t="n"/>
      <c r="C118" s="42" t="n"/>
      <c r="D118" s="42" t="n"/>
      <c r="E118" s="42" t="n"/>
      <c r="F118" s="42" t="n"/>
      <c r="G118" s="42" t="n"/>
      <c r="H118" s="42" t="n"/>
      <c r="I118" s="42" t="n"/>
      <c r="J118" s="42" t="n"/>
      <c r="K118" s="42" t="n"/>
      <c r="L118" s="42" t="n"/>
    </row>
    <row r="119" ht="15" customHeight="1" s="24">
      <c r="A119" s="42" t="n"/>
      <c r="B119" s="43" t="n"/>
      <c r="C119" s="42" t="n"/>
      <c r="D119" s="42" t="n"/>
      <c r="E119" s="42" t="n"/>
      <c r="F119" s="42" t="n"/>
      <c r="G119" s="42" t="n"/>
      <c r="H119" s="42" t="n"/>
      <c r="I119" s="42" t="n"/>
      <c r="J119" s="42" t="n"/>
      <c r="K119" s="42" t="n"/>
      <c r="L119" s="42" t="n"/>
    </row>
    <row r="120" ht="15" customHeight="1" s="24">
      <c r="A120" s="42" t="n"/>
      <c r="B120" s="43" t="n"/>
      <c r="C120" s="42" t="n"/>
      <c r="D120" s="42" t="n"/>
      <c r="E120" s="42" t="n"/>
      <c r="F120" s="42" t="n"/>
      <c r="G120" s="42" t="n"/>
      <c r="H120" s="42" t="n"/>
      <c r="I120" s="42" t="n"/>
      <c r="J120" s="42" t="n"/>
      <c r="K120" s="42" t="n"/>
      <c r="L120" s="42" t="n"/>
    </row>
    <row r="121" ht="15" customHeight="1" s="24">
      <c r="A121" s="42" t="n"/>
      <c r="B121" s="43" t="n"/>
      <c r="C121" s="42" t="n"/>
      <c r="D121" s="42" t="n"/>
      <c r="E121" s="42" t="n"/>
      <c r="F121" s="42" t="n"/>
      <c r="G121" s="42" t="n"/>
      <c r="H121" s="42" t="n"/>
      <c r="I121" s="42" t="n"/>
      <c r="J121" s="42" t="n"/>
      <c r="K121" s="42" t="n"/>
      <c r="L121" s="42" t="n"/>
    </row>
    <row r="122" ht="15" customHeight="1" s="24">
      <c r="A122" s="42" t="n"/>
      <c r="B122" s="43" t="n"/>
      <c r="C122" s="42" t="n"/>
      <c r="D122" s="42" t="n"/>
      <c r="E122" s="42" t="n"/>
      <c r="F122" s="42" t="n"/>
      <c r="G122" s="42" t="n"/>
      <c r="H122" s="42" t="n"/>
      <c r="I122" s="42" t="n"/>
      <c r="J122" s="42" t="n"/>
      <c r="K122" s="42" t="n"/>
      <c r="L122" s="42" t="n"/>
    </row>
    <row r="123" ht="15" customHeight="1" s="24">
      <c r="A123" s="42" t="n"/>
      <c r="B123" s="43" t="n"/>
      <c r="C123" s="42" t="n"/>
      <c r="D123" s="42" t="n"/>
      <c r="E123" s="42" t="n"/>
      <c r="F123" s="42" t="n"/>
      <c r="G123" s="42" t="n"/>
      <c r="H123" s="42" t="n"/>
      <c r="I123" s="42" t="n"/>
      <c r="J123" s="42" t="n"/>
      <c r="K123" s="42" t="n"/>
      <c r="L123" s="42" t="n"/>
    </row>
    <row r="124" ht="15" customHeight="1" s="24">
      <c r="A124" s="42" t="n"/>
      <c r="B124" s="43" t="n"/>
      <c r="C124" s="42" t="n"/>
      <c r="D124" s="42" t="n"/>
      <c r="E124" s="42" t="n"/>
      <c r="F124" s="42" t="n"/>
      <c r="G124" s="42" t="n"/>
      <c r="H124" s="42" t="n"/>
      <c r="I124" s="42" t="n"/>
      <c r="J124" s="42" t="n"/>
      <c r="K124" s="42" t="n"/>
      <c r="L124" s="42" t="n"/>
    </row>
    <row r="125" ht="15" customHeight="1" s="24">
      <c r="A125" s="42" t="n"/>
      <c r="B125" s="43" t="n"/>
      <c r="C125" s="42" t="n"/>
      <c r="D125" s="42" t="n"/>
      <c r="E125" s="42" t="n"/>
      <c r="F125" s="42" t="n"/>
      <c r="G125" s="42" t="n"/>
      <c r="H125" s="42" t="n"/>
      <c r="I125" s="42" t="n"/>
      <c r="J125" s="42" t="n"/>
      <c r="K125" s="42" t="n"/>
      <c r="L125" s="42" t="n"/>
    </row>
    <row r="126" ht="15" customHeight="1" s="24">
      <c r="A126" s="42" t="n"/>
      <c r="B126" s="43" t="n"/>
      <c r="C126" s="42" t="n"/>
      <c r="D126" s="42" t="n"/>
      <c r="E126" s="42" t="n"/>
      <c r="F126" s="42" t="n"/>
      <c r="G126" s="42" t="n"/>
      <c r="H126" s="42" t="n"/>
      <c r="I126" s="42" t="n"/>
      <c r="J126" s="42" t="n"/>
      <c r="K126" s="42" t="n"/>
      <c r="L126" s="42" t="n"/>
    </row>
    <row r="127" ht="15" customHeight="1" s="24">
      <c r="A127" s="42" t="n"/>
      <c r="B127" s="43" t="n"/>
      <c r="C127" s="42" t="n"/>
      <c r="D127" s="42" t="n"/>
      <c r="E127" s="42" t="n"/>
      <c r="F127" s="42" t="n"/>
      <c r="G127" s="42" t="n"/>
      <c r="H127" s="42" t="n"/>
      <c r="I127" s="42" t="n"/>
      <c r="J127" s="42" t="n"/>
      <c r="K127" s="42" t="n"/>
      <c r="L127" s="42" t="n"/>
    </row>
    <row r="128" ht="15" customHeight="1" s="24">
      <c r="A128" s="42" t="n"/>
      <c r="B128" s="43" t="n"/>
      <c r="C128" s="42" t="n"/>
      <c r="D128" s="42" t="n"/>
      <c r="E128" s="42" t="n"/>
      <c r="F128" s="42" t="n"/>
      <c r="G128" s="42" t="n"/>
      <c r="H128" s="42" t="n"/>
      <c r="I128" s="42" t="n"/>
      <c r="J128" s="42" t="n"/>
      <c r="K128" s="42" t="n"/>
      <c r="L128" s="42" t="n"/>
    </row>
    <row r="129" ht="15" customHeight="1" s="24">
      <c r="A129" s="42" t="n"/>
      <c r="B129" s="43" t="n"/>
      <c r="C129" s="42" t="n"/>
      <c r="D129" s="42" t="n"/>
      <c r="E129" s="42" t="n"/>
      <c r="F129" s="42" t="n"/>
      <c r="G129" s="42" t="n"/>
      <c r="H129" s="42" t="n"/>
      <c r="I129" s="42" t="n"/>
      <c r="J129" s="42" t="n"/>
      <c r="K129" s="42" t="n"/>
      <c r="L129" s="42" t="n"/>
    </row>
    <row r="130" ht="15" customHeight="1" s="24">
      <c r="A130" s="42" t="n"/>
      <c r="B130" s="43" t="n"/>
      <c r="C130" s="42" t="n"/>
      <c r="D130" s="42" t="n"/>
      <c r="E130" s="42" t="n"/>
      <c r="F130" s="42" t="n"/>
      <c r="G130" s="42" t="n"/>
      <c r="H130" s="42" t="n"/>
      <c r="I130" s="42" t="n"/>
      <c r="J130" s="42" t="n"/>
      <c r="K130" s="42" t="n"/>
      <c r="L130" s="42" t="n"/>
    </row>
    <row r="131" ht="15" customHeight="1" s="24">
      <c r="A131" s="42" t="n"/>
      <c r="B131" s="43" t="n"/>
      <c r="C131" s="42" t="n"/>
      <c r="D131" s="42" t="n"/>
      <c r="E131" s="42" t="n"/>
      <c r="F131" s="42" t="n"/>
      <c r="G131" s="42" t="n"/>
      <c r="H131" s="42" t="n"/>
      <c r="I131" s="42" t="n"/>
      <c r="J131" s="42" t="n"/>
      <c r="K131" s="42" t="n"/>
      <c r="L131" s="42" t="n"/>
    </row>
    <row r="132" ht="15" customHeight="1" s="24">
      <c r="A132" s="42" t="n"/>
      <c r="B132" s="43" t="n"/>
      <c r="C132" s="42" t="n"/>
      <c r="D132" s="42" t="n"/>
      <c r="E132" s="42" t="n"/>
      <c r="F132" s="42" t="n"/>
      <c r="G132" s="42" t="n"/>
      <c r="H132" s="42" t="n"/>
      <c r="I132" s="42" t="n"/>
      <c r="J132" s="42" t="n"/>
      <c r="K132" s="42" t="n"/>
      <c r="L132" s="42" t="n"/>
    </row>
    <row r="133" ht="15" customHeight="1" s="24">
      <c r="A133" s="42" t="n"/>
      <c r="B133" s="43" t="n"/>
      <c r="C133" s="42" t="n"/>
      <c r="D133" s="42" t="n"/>
      <c r="E133" s="42" t="n"/>
      <c r="F133" s="42" t="n"/>
      <c r="G133" s="42" t="n"/>
      <c r="H133" s="42" t="n"/>
      <c r="I133" s="42" t="n"/>
      <c r="J133" s="42" t="n"/>
      <c r="K133" s="42" t="n"/>
      <c r="L133" s="42" t="n"/>
    </row>
    <row r="134" ht="15" customHeight="1" s="24">
      <c r="A134" s="42" t="n"/>
      <c r="B134" s="43" t="n"/>
      <c r="C134" s="42" t="n"/>
      <c r="D134" s="42" t="n"/>
      <c r="E134" s="42" t="n"/>
      <c r="F134" s="42" t="n"/>
      <c r="G134" s="42" t="n"/>
      <c r="H134" s="42" t="n"/>
      <c r="I134" s="42" t="n"/>
      <c r="J134" s="42" t="n"/>
      <c r="K134" s="42" t="n"/>
      <c r="L134" s="42" t="n"/>
    </row>
    <row r="135" ht="15" customHeight="1" s="24">
      <c r="A135" s="42" t="n"/>
      <c r="B135" s="43" t="n"/>
      <c r="C135" s="42" t="n"/>
      <c r="D135" s="42" t="n"/>
      <c r="E135" s="42" t="n"/>
      <c r="F135" s="42" t="n"/>
      <c r="G135" s="42" t="n"/>
      <c r="H135" s="42" t="n"/>
      <c r="I135" s="42" t="n"/>
      <c r="J135" s="42" t="n"/>
      <c r="K135" s="42" t="n"/>
      <c r="L135" s="42" t="n"/>
    </row>
    <row r="136" ht="15" customHeight="1" s="24">
      <c r="A136" s="42" t="n"/>
      <c r="B136" s="43" t="n"/>
      <c r="C136" s="42" t="n"/>
      <c r="D136" s="42" t="n"/>
      <c r="E136" s="42" t="n"/>
      <c r="F136" s="42" t="n"/>
      <c r="G136" s="42" t="n"/>
      <c r="H136" s="42" t="n"/>
      <c r="I136" s="42" t="n"/>
      <c r="J136" s="42" t="n"/>
      <c r="K136" s="42" t="n"/>
      <c r="L136" s="42" t="n"/>
    </row>
    <row r="137" ht="15" customHeight="1" s="24">
      <c r="A137" s="42" t="n"/>
      <c r="B137" s="43" t="n"/>
      <c r="C137" s="42" t="n"/>
      <c r="D137" s="42" t="n"/>
      <c r="E137" s="42" t="n"/>
      <c r="F137" s="42" t="n"/>
      <c r="G137" s="42" t="n"/>
      <c r="H137" s="42" t="n"/>
      <c r="I137" s="42" t="n"/>
      <c r="J137" s="42" t="n"/>
      <c r="K137" s="42" t="n"/>
      <c r="L137" s="42" t="n"/>
    </row>
    <row r="138" ht="15" customHeight="1" s="24">
      <c r="A138" s="42" t="n"/>
      <c r="B138" s="43" t="n"/>
      <c r="C138" s="42" t="n"/>
      <c r="D138" s="42" t="n"/>
      <c r="E138" s="42" t="n"/>
      <c r="F138" s="42" t="n"/>
      <c r="G138" s="42" t="n"/>
      <c r="H138" s="42" t="n"/>
      <c r="I138" s="42" t="n"/>
      <c r="J138" s="42" t="n"/>
      <c r="K138" s="42" t="n"/>
      <c r="L138" s="42" t="n"/>
    </row>
    <row r="139" ht="15" customHeight="1" s="24">
      <c r="A139" s="42" t="n"/>
      <c r="B139" s="43" t="n"/>
      <c r="C139" s="42" t="n"/>
      <c r="D139" s="42" t="n"/>
      <c r="E139" s="42" t="n"/>
      <c r="F139" s="42" t="n"/>
      <c r="G139" s="42" t="n"/>
      <c r="H139" s="42" t="n"/>
      <c r="I139" s="42" t="n"/>
      <c r="J139" s="42" t="n"/>
      <c r="K139" s="42" t="n"/>
      <c r="L139" s="42" t="n"/>
    </row>
    <row r="140" ht="15" customHeight="1" s="24">
      <c r="A140" s="42" t="n"/>
      <c r="B140" s="43" t="n"/>
      <c r="C140" s="42" t="n"/>
      <c r="D140" s="42" t="n"/>
      <c r="E140" s="42" t="n"/>
      <c r="F140" s="42" t="n"/>
      <c r="G140" s="42" t="n"/>
      <c r="H140" s="42" t="n"/>
      <c r="I140" s="42" t="n"/>
      <c r="J140" s="42" t="n"/>
      <c r="K140" s="42" t="n"/>
      <c r="L140" s="42" t="n"/>
    </row>
    <row r="141" ht="15" customHeight="1" s="24">
      <c r="A141" s="42" t="n"/>
      <c r="B141" s="43" t="n"/>
      <c r="C141" s="42" t="n"/>
      <c r="D141" s="42" t="n"/>
      <c r="E141" s="42" t="n"/>
      <c r="F141" s="42" t="n"/>
      <c r="G141" s="42" t="n"/>
      <c r="H141" s="42" t="n"/>
      <c r="I141" s="42" t="n"/>
      <c r="J141" s="42" t="n"/>
      <c r="K141" s="42" t="n"/>
      <c r="L141" s="42" t="n"/>
    </row>
    <row r="142" ht="15" customHeight="1" s="24">
      <c r="A142" s="42" t="n"/>
      <c r="B142" s="43" t="n"/>
      <c r="C142" s="42" t="n"/>
      <c r="D142" s="42" t="n"/>
      <c r="E142" s="42" t="n"/>
      <c r="F142" s="42" t="n"/>
      <c r="G142" s="42" t="n"/>
      <c r="H142" s="42" t="n"/>
      <c r="I142" s="42" t="n"/>
      <c r="J142" s="42" t="n"/>
      <c r="K142" s="42" t="n"/>
      <c r="L142" s="42" t="n"/>
    </row>
    <row r="143" ht="15" customHeight="1" s="24">
      <c r="A143" s="42" t="n"/>
      <c r="B143" s="43" t="n"/>
      <c r="C143" s="42" t="n"/>
      <c r="D143" s="42" t="n"/>
      <c r="E143" s="42" t="n"/>
      <c r="F143" s="42" t="n"/>
      <c r="G143" s="42" t="n"/>
      <c r="H143" s="42" t="n"/>
      <c r="I143" s="42" t="n"/>
      <c r="J143" s="42" t="n"/>
      <c r="K143" s="42" t="n"/>
      <c r="L143" s="42" t="n"/>
    </row>
    <row r="144" ht="15" customHeight="1" s="24">
      <c r="A144" s="42" t="n"/>
      <c r="B144" s="43" t="n"/>
      <c r="C144" s="42" t="n"/>
      <c r="D144" s="42" t="n"/>
      <c r="E144" s="42" t="n"/>
      <c r="F144" s="42" t="n"/>
      <c r="G144" s="42" t="n"/>
      <c r="H144" s="42" t="n"/>
      <c r="I144" s="42" t="n"/>
      <c r="J144" s="42" t="n"/>
      <c r="K144" s="42" t="n"/>
      <c r="L144" s="42" t="n"/>
    </row>
    <row r="145" ht="15" customHeight="1" s="24">
      <c r="A145" s="42" t="n"/>
      <c r="B145" s="43" t="n"/>
      <c r="C145" s="42" t="n"/>
      <c r="D145" s="42" t="n"/>
      <c r="E145" s="42" t="n"/>
      <c r="F145" s="42" t="n"/>
      <c r="G145" s="42" t="n"/>
      <c r="H145" s="42" t="n"/>
      <c r="I145" s="42" t="n"/>
      <c r="J145" s="42" t="n"/>
      <c r="K145" s="42" t="n"/>
      <c r="L145" s="42" t="n"/>
    </row>
    <row r="146" ht="15" customHeight="1" s="24">
      <c r="A146" s="42" t="n"/>
      <c r="B146" s="43" t="n"/>
      <c r="C146" s="42" t="n"/>
      <c r="D146" s="42" t="n"/>
      <c r="E146" s="42" t="n"/>
      <c r="F146" s="42" t="n"/>
      <c r="G146" s="42" t="n"/>
      <c r="H146" s="42" t="n"/>
      <c r="I146" s="42" t="n"/>
      <c r="J146" s="42" t="n"/>
      <c r="K146" s="42" t="n"/>
      <c r="L146" s="42" t="n"/>
    </row>
    <row r="147" ht="15" customHeight="1" s="24">
      <c r="A147" s="42" t="n"/>
      <c r="B147" s="43" t="n"/>
      <c r="C147" s="42" t="n"/>
      <c r="D147" s="42" t="n"/>
      <c r="E147" s="42" t="n"/>
      <c r="F147" s="42" t="n"/>
      <c r="G147" s="42" t="n"/>
      <c r="H147" s="42" t="n"/>
      <c r="I147" s="42" t="n"/>
      <c r="J147" s="42" t="n"/>
      <c r="K147" s="42" t="n"/>
      <c r="L147" s="42" t="n"/>
    </row>
    <row r="148" ht="15" customHeight="1" s="24">
      <c r="A148" s="42" t="n"/>
      <c r="B148" s="43" t="n"/>
      <c r="C148" s="42" t="n"/>
      <c r="D148" s="42" t="n"/>
      <c r="E148" s="42" t="n"/>
      <c r="F148" s="42" t="n"/>
      <c r="G148" s="42" t="n"/>
      <c r="H148" s="42" t="n"/>
      <c r="I148" s="42" t="n"/>
      <c r="J148" s="42" t="n"/>
      <c r="K148" s="42" t="n"/>
      <c r="L148" s="42" t="n"/>
    </row>
    <row r="149" ht="15" customHeight="1" s="24">
      <c r="A149" s="42" t="n"/>
      <c r="B149" s="43" t="n"/>
      <c r="C149" s="42" t="n"/>
      <c r="D149" s="42" t="n"/>
      <c r="E149" s="42" t="n"/>
      <c r="F149" s="42" t="n"/>
      <c r="G149" s="42" t="n"/>
      <c r="H149" s="42" t="n"/>
      <c r="I149" s="42" t="n"/>
      <c r="J149" s="42" t="n"/>
      <c r="K149" s="42" t="n"/>
      <c r="L149" s="42" t="n"/>
    </row>
    <row r="150" ht="15" customHeight="1" s="24">
      <c r="A150" s="42" t="n"/>
      <c r="B150" s="43" t="n"/>
      <c r="C150" s="42" t="n"/>
      <c r="D150" s="42" t="n"/>
      <c r="E150" s="42" t="n"/>
      <c r="F150" s="42" t="n"/>
      <c r="G150" s="42" t="n"/>
      <c r="H150" s="42" t="n"/>
      <c r="I150" s="42" t="n"/>
      <c r="J150" s="42" t="n"/>
      <c r="K150" s="42" t="n"/>
      <c r="L150" s="42" t="n"/>
    </row>
    <row r="151" ht="15" customHeight="1" s="24">
      <c r="A151" s="42" t="n"/>
      <c r="B151" s="43" t="n"/>
      <c r="C151" s="42" t="n"/>
      <c r="D151" s="42" t="n"/>
      <c r="E151" s="42" t="n"/>
      <c r="F151" s="42" t="n"/>
      <c r="G151" s="42" t="n"/>
      <c r="H151" s="42" t="n"/>
      <c r="I151" s="42" t="n"/>
      <c r="J151" s="42" t="n"/>
      <c r="K151" s="42" t="n"/>
      <c r="L151" s="42" t="n"/>
    </row>
    <row r="152" ht="15" customHeight="1" s="24">
      <c r="A152" s="42" t="n"/>
      <c r="B152" s="43" t="n"/>
      <c r="C152" s="42" t="n"/>
      <c r="D152" s="42" t="n"/>
      <c r="E152" s="42" t="n"/>
      <c r="F152" s="42" t="n"/>
      <c r="G152" s="42" t="n"/>
      <c r="H152" s="42" t="n"/>
      <c r="I152" s="42" t="n"/>
      <c r="J152" s="42" t="n"/>
      <c r="K152" s="42" t="n"/>
      <c r="L152" s="42" t="n"/>
    </row>
    <row r="153" ht="15" customHeight="1" s="24">
      <c r="A153" s="42" t="n"/>
      <c r="B153" s="43" t="n"/>
      <c r="C153" s="42" t="n"/>
      <c r="D153" s="42" t="n"/>
      <c r="E153" s="42" t="n"/>
      <c r="F153" s="42" t="n"/>
      <c r="G153" s="42" t="n"/>
      <c r="H153" s="42" t="n"/>
      <c r="I153" s="42" t="n"/>
      <c r="J153" s="42" t="n"/>
      <c r="K153" s="42" t="n"/>
      <c r="L153" s="42" t="n"/>
    </row>
    <row r="154" ht="15" customHeight="1" s="24">
      <c r="A154" s="42" t="n"/>
      <c r="B154" s="43" t="n"/>
      <c r="C154" s="42" t="n"/>
      <c r="D154" s="42" t="n"/>
      <c r="E154" s="42" t="n"/>
      <c r="F154" s="42" t="n"/>
      <c r="G154" s="42" t="n"/>
      <c r="H154" s="42" t="n"/>
      <c r="I154" s="42" t="n"/>
      <c r="J154" s="42" t="n"/>
      <c r="K154" s="42" t="n"/>
      <c r="L154" s="42" t="n"/>
    </row>
    <row r="155" ht="15" customHeight="1" s="24">
      <c r="A155" s="42" t="n"/>
      <c r="B155" s="43" t="n"/>
      <c r="C155" s="42" t="n"/>
      <c r="D155" s="42" t="n"/>
      <c r="E155" s="42" t="n"/>
      <c r="F155" s="42" t="n"/>
      <c r="G155" s="42" t="n"/>
      <c r="H155" s="42" t="n"/>
      <c r="I155" s="42" t="n"/>
      <c r="J155" s="42" t="n"/>
      <c r="K155" s="42" t="n"/>
      <c r="L155" s="42" t="n"/>
    </row>
    <row r="156" ht="15" customHeight="1" s="24">
      <c r="A156" s="42" t="n"/>
      <c r="B156" s="43" t="n"/>
      <c r="C156" s="42" t="n"/>
      <c r="D156" s="42" t="n"/>
      <c r="E156" s="42" t="n"/>
      <c r="F156" s="42" t="n"/>
      <c r="G156" s="42" t="n"/>
      <c r="H156" s="42" t="n"/>
      <c r="I156" s="42" t="n"/>
      <c r="J156" s="42" t="n"/>
      <c r="K156" s="42" t="n"/>
      <c r="L156" s="42" t="n"/>
    </row>
    <row r="157" ht="15" customHeight="1" s="24">
      <c r="A157" s="42" t="n"/>
      <c r="B157" s="43" t="n"/>
      <c r="C157" s="42" t="n"/>
      <c r="D157" s="42" t="n"/>
      <c r="E157" s="42" t="n"/>
      <c r="F157" s="42" t="n"/>
      <c r="G157" s="42" t="n"/>
      <c r="H157" s="42" t="n"/>
      <c r="I157" s="42" t="n"/>
      <c r="J157" s="42" t="n"/>
      <c r="K157" s="42" t="n"/>
      <c r="L157" s="42" t="n"/>
    </row>
    <row r="158" ht="15" customHeight="1" s="24">
      <c r="A158" s="42" t="n"/>
      <c r="B158" s="43" t="n"/>
      <c r="C158" s="42" t="n"/>
      <c r="D158" s="42" t="n"/>
      <c r="E158" s="42" t="n"/>
      <c r="F158" s="42" t="n"/>
      <c r="G158" s="42" t="n"/>
      <c r="H158" s="42" t="n"/>
      <c r="I158" s="42" t="n"/>
      <c r="J158" s="42" t="n"/>
      <c r="K158" s="42" t="n"/>
      <c r="L158" s="42" t="n"/>
    </row>
    <row r="159" ht="15" customHeight="1" s="24">
      <c r="A159" s="42" t="n"/>
      <c r="B159" s="43" t="n"/>
      <c r="C159" s="42" t="n"/>
      <c r="D159" s="42" t="n"/>
      <c r="E159" s="42" t="n"/>
      <c r="F159" s="42" t="n"/>
      <c r="G159" s="42" t="n"/>
      <c r="H159" s="42" t="n"/>
      <c r="I159" s="42" t="n"/>
      <c r="J159" s="42" t="n"/>
      <c r="K159" s="42" t="n"/>
      <c r="L159" s="42" t="n"/>
    </row>
    <row r="160" ht="15" customHeight="1" s="24">
      <c r="A160" s="42" t="n"/>
      <c r="B160" s="43" t="n"/>
      <c r="C160" s="42" t="n"/>
      <c r="D160" s="42" t="n"/>
      <c r="E160" s="42" t="n"/>
      <c r="F160" s="42" t="n"/>
      <c r="G160" s="42" t="n"/>
      <c r="H160" s="42" t="n"/>
      <c r="I160" s="42" t="n"/>
      <c r="J160" s="42" t="n"/>
      <c r="K160" s="42" t="n"/>
      <c r="L160" s="42" t="n"/>
    </row>
    <row r="161" ht="15" customHeight="1" s="24">
      <c r="A161" s="42" t="n"/>
      <c r="B161" s="43" t="n"/>
      <c r="C161" s="42" t="n"/>
      <c r="D161" s="42" t="n"/>
      <c r="E161" s="42" t="n"/>
      <c r="F161" s="42" t="n"/>
      <c r="G161" s="42" t="n"/>
      <c r="H161" s="42" t="n"/>
      <c r="I161" s="42" t="n"/>
      <c r="J161" s="42" t="n"/>
      <c r="K161" s="42" t="n"/>
      <c r="L161" s="42" t="n"/>
    </row>
    <row r="162" ht="15" customHeight="1" s="24">
      <c r="A162" s="42" t="n"/>
      <c r="B162" s="43" t="n"/>
      <c r="C162" s="42" t="n"/>
      <c r="D162" s="42" t="n"/>
      <c r="E162" s="42" t="n"/>
      <c r="F162" s="42" t="n"/>
      <c r="G162" s="42" t="n"/>
      <c r="H162" s="42" t="n"/>
      <c r="I162" s="42" t="n"/>
      <c r="J162" s="42" t="n"/>
      <c r="K162" s="42" t="n"/>
      <c r="L162" s="42" t="n"/>
    </row>
    <row r="163" ht="15" customHeight="1" s="24">
      <c r="A163" s="42" t="n"/>
      <c r="B163" s="43" t="n"/>
      <c r="C163" s="42" t="n"/>
      <c r="D163" s="42" t="n"/>
      <c r="E163" s="42" t="n"/>
      <c r="F163" s="42" t="n"/>
      <c r="G163" s="42" t="n"/>
      <c r="H163" s="42" t="n"/>
      <c r="I163" s="42" t="n"/>
      <c r="J163" s="42" t="n"/>
      <c r="K163" s="42" t="n"/>
      <c r="L163" s="42" t="n"/>
    </row>
    <row r="164" ht="15" customHeight="1" s="24">
      <c r="A164" s="42" t="n"/>
      <c r="B164" s="43" t="n"/>
      <c r="C164" s="42" t="n"/>
      <c r="D164" s="42" t="n"/>
      <c r="E164" s="42" t="n"/>
      <c r="F164" s="42" t="n"/>
      <c r="G164" s="42" t="n"/>
      <c r="H164" s="42" t="n"/>
      <c r="I164" s="42" t="n"/>
      <c r="J164" s="42" t="n"/>
      <c r="K164" s="42" t="n"/>
      <c r="L164" s="42" t="n"/>
    </row>
    <row r="165" ht="15" customHeight="1" s="24">
      <c r="A165" s="42" t="n"/>
      <c r="B165" s="43" t="n"/>
      <c r="C165" s="42" t="n"/>
      <c r="D165" s="42" t="n"/>
      <c r="E165" s="42" t="n"/>
      <c r="F165" s="42" t="n"/>
      <c r="G165" s="42" t="n"/>
      <c r="H165" s="42" t="n"/>
      <c r="I165" s="42" t="n"/>
      <c r="J165" s="42" t="n"/>
      <c r="K165" s="42" t="n"/>
      <c r="L165" s="42" t="n"/>
    </row>
    <row r="166" ht="15" customHeight="1" s="24">
      <c r="A166" s="42" t="n"/>
      <c r="B166" s="43" t="n"/>
      <c r="C166" s="42" t="n"/>
      <c r="D166" s="42" t="n"/>
      <c r="E166" s="42" t="n"/>
      <c r="F166" s="42" t="n"/>
      <c r="G166" s="42" t="n"/>
      <c r="H166" s="42" t="n"/>
      <c r="I166" s="42" t="n"/>
      <c r="J166" s="42" t="n"/>
      <c r="K166" s="42" t="n"/>
      <c r="L166" s="42" t="n"/>
    </row>
    <row r="167" ht="15" customHeight="1" s="24">
      <c r="A167" s="42" t="n"/>
      <c r="B167" s="43" t="n"/>
      <c r="C167" s="42" t="n"/>
      <c r="D167" s="42" t="n"/>
      <c r="E167" s="42" t="n"/>
      <c r="F167" s="42" t="n"/>
      <c r="G167" s="42" t="n"/>
      <c r="H167" s="42" t="n"/>
      <c r="I167" s="42" t="n"/>
      <c r="J167" s="42" t="n"/>
      <c r="K167" s="42" t="n"/>
      <c r="L167" s="42" t="n"/>
    </row>
    <row r="168" ht="15" customHeight="1" s="24">
      <c r="A168" s="42" t="n"/>
      <c r="B168" s="43" t="n"/>
      <c r="C168" s="42" t="n"/>
      <c r="D168" s="42" t="n"/>
      <c r="E168" s="42" t="n"/>
      <c r="F168" s="42" t="n"/>
      <c r="G168" s="42" t="n"/>
      <c r="H168" s="42" t="n"/>
      <c r="I168" s="42" t="n"/>
      <c r="J168" s="42" t="n"/>
      <c r="K168" s="42" t="n"/>
      <c r="L168" s="42" t="n"/>
    </row>
    <row r="169" ht="15" customHeight="1" s="24">
      <c r="A169" s="42" t="n"/>
      <c r="B169" s="43" t="n"/>
      <c r="C169" s="42" t="n"/>
      <c r="D169" s="42" t="n"/>
      <c r="E169" s="42" t="n"/>
      <c r="F169" s="42" t="n"/>
      <c r="G169" s="42" t="n"/>
      <c r="H169" s="42" t="n"/>
      <c r="I169" s="42" t="n"/>
      <c r="J169" s="42" t="n"/>
      <c r="K169" s="42" t="n"/>
      <c r="L169" s="42" t="n"/>
    </row>
    <row r="170" ht="15" customHeight="1" s="24">
      <c r="A170" s="42" t="n"/>
      <c r="B170" s="43" t="n"/>
      <c r="C170" s="42" t="n"/>
      <c r="D170" s="42" t="n"/>
      <c r="E170" s="42" t="n"/>
      <c r="F170" s="42" t="n"/>
      <c r="G170" s="42" t="n"/>
      <c r="H170" s="42" t="n"/>
      <c r="I170" s="42" t="n"/>
      <c r="J170" s="42" t="n"/>
      <c r="K170" s="42" t="n"/>
      <c r="L170" s="42" t="n"/>
    </row>
    <row r="171" ht="15" customHeight="1" s="24">
      <c r="A171" s="42" t="n"/>
      <c r="B171" s="43" t="n"/>
      <c r="C171" s="42" t="n"/>
      <c r="D171" s="42" t="n"/>
      <c r="E171" s="42" t="n"/>
      <c r="F171" s="42" t="n"/>
      <c r="G171" s="42" t="n"/>
      <c r="H171" s="42" t="n"/>
      <c r="I171" s="42" t="n"/>
      <c r="J171" s="42" t="n"/>
      <c r="K171" s="42" t="n"/>
      <c r="L171" s="42" t="n"/>
    </row>
    <row r="172" ht="15" customHeight="1" s="24">
      <c r="A172" s="42" t="n"/>
      <c r="B172" s="43" t="n"/>
      <c r="C172" s="42" t="n"/>
      <c r="D172" s="42" t="n"/>
      <c r="E172" s="42" t="n"/>
      <c r="F172" s="42" t="n"/>
      <c r="G172" s="42" t="n"/>
      <c r="H172" s="42" t="n"/>
      <c r="I172" s="42" t="n"/>
      <c r="J172" s="42" t="n"/>
      <c r="K172" s="42" t="n"/>
      <c r="L172" s="42" t="n"/>
    </row>
    <row r="173" ht="15" customHeight="1" s="24">
      <c r="A173" s="42" t="n"/>
      <c r="B173" s="43" t="n"/>
      <c r="C173" s="42" t="n"/>
      <c r="D173" s="42" t="n"/>
      <c r="E173" s="42" t="n"/>
      <c r="F173" s="42" t="n"/>
      <c r="G173" s="42" t="n"/>
      <c r="H173" s="42" t="n"/>
      <c r="I173" s="42" t="n"/>
      <c r="J173" s="42" t="n"/>
      <c r="K173" s="42" t="n"/>
      <c r="L173" s="42" t="n"/>
    </row>
    <row r="174" ht="15" customHeight="1" s="24">
      <c r="A174" s="42" t="n"/>
      <c r="B174" s="43" t="n"/>
      <c r="C174" s="42" t="n"/>
      <c r="D174" s="42" t="n"/>
      <c r="E174" s="42" t="n"/>
      <c r="F174" s="42" t="n"/>
      <c r="G174" s="42" t="n"/>
      <c r="H174" s="42" t="n"/>
      <c r="I174" s="42" t="n"/>
      <c r="J174" s="42" t="n"/>
      <c r="K174" s="42" t="n"/>
      <c r="L174" s="42" t="n"/>
    </row>
    <row r="175" ht="15" customHeight="1" s="24">
      <c r="A175" s="42" t="n"/>
      <c r="B175" s="43" t="n"/>
      <c r="C175" s="42" t="n"/>
      <c r="D175" s="42" t="n"/>
      <c r="E175" s="42" t="n"/>
      <c r="F175" s="42" t="n"/>
      <c r="G175" s="42" t="n"/>
      <c r="H175" s="42" t="n"/>
      <c r="I175" s="42" t="n"/>
      <c r="J175" s="42" t="n"/>
      <c r="K175" s="42" t="n"/>
      <c r="L175" s="42" t="n"/>
    </row>
    <row r="176" ht="15" customHeight="1" s="24">
      <c r="A176" s="42" t="n"/>
      <c r="B176" s="43" t="n"/>
      <c r="C176" s="42" t="n"/>
      <c r="D176" s="42" t="n"/>
      <c r="E176" s="42" t="n"/>
      <c r="F176" s="42" t="n"/>
      <c r="G176" s="42" t="n"/>
      <c r="H176" s="42" t="n"/>
      <c r="I176" s="42" t="n"/>
      <c r="J176" s="42" t="n"/>
      <c r="K176" s="42" t="n"/>
      <c r="L176" s="42" t="n"/>
    </row>
    <row r="177" ht="15" customHeight="1" s="24">
      <c r="A177" s="42" t="n"/>
      <c r="B177" s="43" t="n"/>
      <c r="C177" s="42" t="n"/>
      <c r="D177" s="42" t="n"/>
      <c r="E177" s="42" t="n"/>
      <c r="F177" s="42" t="n"/>
      <c r="G177" s="42" t="n"/>
      <c r="H177" s="42" t="n"/>
      <c r="I177" s="42" t="n"/>
      <c r="J177" s="42" t="n"/>
      <c r="K177" s="42" t="n"/>
      <c r="L177" s="42" t="n"/>
    </row>
    <row r="178" ht="15" customHeight="1" s="24">
      <c r="A178" s="42" t="n"/>
      <c r="B178" s="43" t="n"/>
      <c r="C178" s="42" t="n"/>
      <c r="D178" s="42" t="n"/>
      <c r="E178" s="42" t="n"/>
      <c r="F178" s="42" t="n"/>
      <c r="G178" s="42" t="n"/>
      <c r="H178" s="42" t="n"/>
      <c r="I178" s="42" t="n"/>
      <c r="J178" s="42" t="n"/>
      <c r="K178" s="42" t="n"/>
      <c r="L178" s="42" t="n"/>
    </row>
    <row r="179" ht="15" customHeight="1" s="24">
      <c r="A179" s="42" t="n"/>
      <c r="B179" s="43" t="n"/>
      <c r="C179" s="42" t="n"/>
      <c r="D179" s="42" t="n"/>
      <c r="E179" s="42" t="n"/>
      <c r="F179" s="42" t="n"/>
      <c r="G179" s="42" t="n"/>
      <c r="H179" s="42" t="n"/>
      <c r="I179" s="42" t="n"/>
      <c r="J179" s="42" t="n"/>
      <c r="K179" s="42" t="n"/>
      <c r="L179" s="42" t="n"/>
    </row>
    <row r="180" ht="15" customHeight="1" s="24">
      <c r="A180" s="42" t="n"/>
      <c r="B180" s="43" t="n"/>
      <c r="C180" s="42" t="n"/>
      <c r="D180" s="42" t="n"/>
      <c r="E180" s="42" t="n"/>
      <c r="F180" s="42" t="n"/>
      <c r="G180" s="42" t="n"/>
      <c r="H180" s="42" t="n"/>
      <c r="I180" s="42" t="n"/>
      <c r="J180" s="42" t="n"/>
      <c r="K180" s="42" t="n"/>
      <c r="L180" s="42" t="n"/>
    </row>
    <row r="181" ht="15" customHeight="1" s="24">
      <c r="A181" s="42" t="n"/>
      <c r="B181" s="43" t="n"/>
      <c r="C181" s="42" t="n"/>
      <c r="D181" s="42" t="n"/>
      <c r="E181" s="42" t="n"/>
      <c r="F181" s="42" t="n"/>
      <c r="G181" s="42" t="n"/>
      <c r="H181" s="42" t="n"/>
      <c r="I181" s="42" t="n"/>
      <c r="J181" s="42" t="n"/>
      <c r="K181" s="42" t="n"/>
      <c r="L181" s="42" t="n"/>
    </row>
    <row r="182" ht="15" customHeight="1" s="24">
      <c r="A182" s="42" t="n"/>
      <c r="B182" s="43" t="n"/>
      <c r="C182" s="42" t="n"/>
      <c r="D182" s="42" t="n"/>
      <c r="E182" s="42" t="n"/>
      <c r="F182" s="42" t="n"/>
      <c r="G182" s="42" t="n"/>
      <c r="H182" s="42" t="n"/>
      <c r="I182" s="42" t="n"/>
      <c r="J182" s="42" t="n"/>
      <c r="K182" s="42" t="n"/>
      <c r="L182" s="42" t="n"/>
    </row>
    <row r="183" ht="15" customHeight="1" s="24">
      <c r="A183" s="42" t="n"/>
      <c r="B183" s="43" t="n"/>
      <c r="C183" s="42" t="n"/>
      <c r="D183" s="42" t="n"/>
      <c r="E183" s="42" t="n"/>
      <c r="F183" s="42" t="n"/>
      <c r="G183" s="42" t="n"/>
      <c r="H183" s="42" t="n"/>
      <c r="I183" s="42" t="n"/>
      <c r="J183" s="42" t="n"/>
      <c r="K183" s="42" t="n"/>
      <c r="L183" s="42" t="n"/>
    </row>
    <row r="184" ht="15" customHeight="1" s="24">
      <c r="A184" s="42" t="n"/>
      <c r="B184" s="43" t="n"/>
      <c r="C184" s="42" t="n"/>
      <c r="D184" s="42" t="n"/>
      <c r="E184" s="42" t="n"/>
      <c r="F184" s="42" t="n"/>
      <c r="G184" s="42" t="n"/>
      <c r="H184" s="42" t="n"/>
      <c r="I184" s="42" t="n"/>
      <c r="J184" s="42" t="n"/>
      <c r="K184" s="42" t="n"/>
      <c r="L184" s="42" t="n"/>
    </row>
    <row r="185" ht="15" customHeight="1" s="24">
      <c r="A185" s="42" t="n"/>
      <c r="B185" s="43" t="n"/>
      <c r="C185" s="42" t="n"/>
      <c r="D185" s="42" t="n"/>
      <c r="E185" s="42" t="n"/>
      <c r="F185" s="42" t="n"/>
      <c r="G185" s="42" t="n"/>
      <c r="H185" s="42" t="n"/>
      <c r="I185" s="42" t="n"/>
      <c r="J185" s="42" t="n"/>
      <c r="K185" s="42" t="n"/>
      <c r="L185" s="42" t="n"/>
    </row>
    <row r="186" ht="15" customHeight="1" s="24">
      <c r="A186" s="42" t="n"/>
      <c r="B186" s="43" t="n"/>
      <c r="C186" s="42" t="n"/>
      <c r="D186" s="42" t="n"/>
      <c r="E186" s="42" t="n"/>
      <c r="F186" s="42" t="n"/>
      <c r="G186" s="42" t="n"/>
      <c r="H186" s="42" t="n"/>
      <c r="I186" s="42" t="n"/>
      <c r="J186" s="42" t="n"/>
      <c r="K186" s="42" t="n"/>
      <c r="L186" s="42" t="n"/>
    </row>
    <row r="187" ht="15" customHeight="1" s="24">
      <c r="A187" s="42" t="n"/>
      <c r="B187" s="43" t="n"/>
      <c r="C187" s="42" t="n"/>
      <c r="D187" s="42" t="n"/>
      <c r="E187" s="42" t="n"/>
      <c r="F187" s="42" t="n"/>
      <c r="G187" s="42" t="n"/>
      <c r="H187" s="42" t="n"/>
      <c r="I187" s="42" t="n"/>
      <c r="J187" s="42" t="n"/>
      <c r="K187" s="42" t="n"/>
      <c r="L187" s="42" t="n"/>
    </row>
    <row r="188" ht="15" customHeight="1" s="24">
      <c r="A188" s="42" t="n"/>
      <c r="B188" s="43" t="n"/>
      <c r="C188" s="42" t="n"/>
      <c r="D188" s="42" t="n"/>
      <c r="E188" s="42" t="n"/>
      <c r="F188" s="42" t="n"/>
      <c r="G188" s="42" t="n"/>
      <c r="H188" s="42" t="n"/>
      <c r="I188" s="42" t="n"/>
      <c r="J188" s="42" t="n"/>
      <c r="K188" s="42" t="n"/>
      <c r="L188" s="42" t="n"/>
    </row>
    <row r="189" ht="15" customHeight="1" s="24">
      <c r="A189" s="42" t="n"/>
      <c r="B189" s="43" t="n"/>
      <c r="C189" s="42" t="n"/>
      <c r="D189" s="42" t="n"/>
      <c r="E189" s="42" t="n"/>
      <c r="F189" s="42" t="n"/>
      <c r="G189" s="42" t="n"/>
      <c r="H189" s="42" t="n"/>
      <c r="I189" s="42" t="n"/>
      <c r="J189" s="42" t="n"/>
      <c r="K189" s="42" t="n"/>
      <c r="L189" s="42" t="n"/>
    </row>
    <row r="190" ht="15" customHeight="1" s="24">
      <c r="A190" s="42" t="n"/>
      <c r="B190" s="43" t="n"/>
      <c r="C190" s="42" t="n"/>
      <c r="D190" s="42" t="n"/>
      <c r="E190" s="42" t="n"/>
      <c r="F190" s="42" t="n"/>
      <c r="G190" s="42" t="n"/>
      <c r="H190" s="42" t="n"/>
      <c r="I190" s="42" t="n"/>
      <c r="J190" s="42" t="n"/>
      <c r="K190" s="42" t="n"/>
      <c r="L190" s="42" t="n"/>
    </row>
    <row r="191" ht="15" customHeight="1" s="24">
      <c r="A191" s="42" t="n"/>
      <c r="B191" s="43" t="n"/>
      <c r="C191" s="42" t="n"/>
      <c r="D191" s="42" t="n"/>
      <c r="E191" s="42" t="n"/>
      <c r="F191" s="42" t="n"/>
      <c r="G191" s="42" t="n"/>
      <c r="H191" s="42" t="n"/>
      <c r="I191" s="42" t="n"/>
      <c r="J191" s="42" t="n"/>
      <c r="K191" s="42" t="n"/>
      <c r="L191" s="42" t="n"/>
    </row>
    <row r="192" ht="15" customHeight="1" s="24">
      <c r="A192" s="42" t="n"/>
      <c r="B192" s="43" t="n"/>
      <c r="C192" s="42" t="n"/>
      <c r="D192" s="42" t="n"/>
      <c r="E192" s="42" t="n"/>
      <c r="F192" s="42" t="n"/>
      <c r="G192" s="42" t="n"/>
      <c r="H192" s="42" t="n"/>
      <c r="I192" s="42" t="n"/>
      <c r="J192" s="42" t="n"/>
      <c r="K192" s="42" t="n"/>
      <c r="L192" s="42" t="n"/>
    </row>
    <row r="193" ht="15" customHeight="1" s="24">
      <c r="A193" s="42" t="n"/>
      <c r="B193" s="43" t="n"/>
      <c r="C193" s="42" t="n"/>
      <c r="D193" s="42" t="n"/>
      <c r="E193" s="42" t="n"/>
      <c r="F193" s="42" t="n"/>
      <c r="G193" s="42" t="n"/>
      <c r="H193" s="42" t="n"/>
      <c r="I193" s="42" t="n"/>
      <c r="J193" s="42" t="n"/>
      <c r="K193" s="42" t="n"/>
      <c r="L193" s="42" t="n"/>
    </row>
    <row r="194" ht="15" customHeight="1" s="24">
      <c r="A194" s="42" t="n"/>
      <c r="B194" s="43" t="n"/>
      <c r="C194" s="42" t="n"/>
      <c r="D194" s="42" t="n"/>
      <c r="E194" s="42" t="n"/>
      <c r="F194" s="42" t="n"/>
      <c r="G194" s="42" t="n"/>
      <c r="H194" s="42" t="n"/>
      <c r="I194" s="42" t="n"/>
      <c r="J194" s="42" t="n"/>
      <c r="K194" s="42" t="n"/>
      <c r="L194" s="42" t="n"/>
    </row>
    <row r="195" ht="15" customHeight="1" s="24">
      <c r="A195" s="42" t="n"/>
      <c r="B195" s="43" t="n"/>
      <c r="C195" s="42" t="n"/>
      <c r="D195" s="42" t="n"/>
      <c r="E195" s="42" t="n"/>
      <c r="F195" s="42" t="n"/>
      <c r="G195" s="42" t="n"/>
      <c r="H195" s="42" t="n"/>
      <c r="I195" s="42" t="n"/>
      <c r="J195" s="42" t="n"/>
      <c r="K195" s="42" t="n"/>
      <c r="L195" s="42" t="n"/>
    </row>
    <row r="196" ht="15" customHeight="1" s="24">
      <c r="A196" s="42" t="n"/>
      <c r="B196" s="43" t="n"/>
      <c r="C196" s="42" t="n"/>
      <c r="D196" s="42" t="n"/>
      <c r="E196" s="42" t="n"/>
      <c r="F196" s="42" t="n"/>
      <c r="G196" s="42" t="n"/>
      <c r="H196" s="42" t="n"/>
      <c r="I196" s="42" t="n"/>
      <c r="J196" s="42" t="n"/>
      <c r="K196" s="42" t="n"/>
      <c r="L196" s="42" t="n"/>
    </row>
    <row r="197" ht="15" customHeight="1" s="24">
      <c r="A197" s="42" t="n"/>
      <c r="B197" s="43" t="n"/>
      <c r="C197" s="42" t="n"/>
      <c r="D197" s="42" t="n"/>
      <c r="E197" s="42" t="n"/>
      <c r="F197" s="42" t="n"/>
      <c r="G197" s="42" t="n"/>
      <c r="H197" s="42" t="n"/>
      <c r="I197" s="42" t="n"/>
      <c r="J197" s="42" t="n"/>
      <c r="K197" s="42" t="n"/>
      <c r="L197" s="42" t="n"/>
    </row>
    <row r="198" ht="15" customHeight="1" s="24">
      <c r="A198" s="42" t="n"/>
      <c r="B198" s="43" t="n"/>
      <c r="C198" s="42" t="n"/>
      <c r="D198" s="42" t="n"/>
      <c r="E198" s="42" t="n"/>
      <c r="F198" s="42" t="n"/>
      <c r="G198" s="42" t="n"/>
      <c r="H198" s="42" t="n"/>
      <c r="I198" s="42" t="n"/>
      <c r="J198" s="42" t="n"/>
      <c r="K198" s="42" t="n"/>
      <c r="L198" s="42" t="n"/>
    </row>
    <row r="199" ht="15" customHeight="1" s="24">
      <c r="A199" s="42" t="n"/>
      <c r="B199" s="43" t="n"/>
      <c r="C199" s="42" t="n"/>
      <c r="D199" s="42" t="n"/>
      <c r="E199" s="42" t="n"/>
      <c r="F199" s="42" t="n"/>
      <c r="G199" s="42" t="n"/>
      <c r="H199" s="42" t="n"/>
      <c r="I199" s="42" t="n"/>
      <c r="J199" s="42" t="n"/>
      <c r="K199" s="42" t="n"/>
      <c r="L199" s="42" t="n"/>
    </row>
    <row r="200" ht="15" customHeight="1" s="24">
      <c r="A200" s="42" t="n"/>
      <c r="B200" s="43" t="n"/>
      <c r="C200" s="42" t="n"/>
      <c r="D200" s="42" t="n"/>
      <c r="E200" s="42" t="n"/>
      <c r="F200" s="42" t="n"/>
      <c r="G200" s="42" t="n"/>
      <c r="H200" s="42" t="n"/>
      <c r="I200" s="42" t="n"/>
      <c r="J200" s="42" t="n"/>
      <c r="K200" s="42" t="n"/>
      <c r="L200" s="42" t="n"/>
    </row>
    <row r="201" ht="15" customHeight="1" s="24">
      <c r="A201" s="42" t="n"/>
      <c r="B201" s="43" t="n"/>
      <c r="C201" s="42" t="n"/>
      <c r="D201" s="42" t="n"/>
      <c r="E201" s="42" t="n"/>
      <c r="F201" s="42" t="n"/>
      <c r="G201" s="42" t="n"/>
      <c r="H201" s="42" t="n"/>
      <c r="I201" s="42" t="n"/>
      <c r="J201" s="42" t="n"/>
      <c r="K201" s="42" t="n"/>
      <c r="L201" s="42" t="n"/>
    </row>
    <row r="202" ht="15" customHeight="1" s="24">
      <c r="A202" s="42" t="n"/>
      <c r="B202" s="43" t="n"/>
      <c r="C202" s="42" t="n"/>
      <c r="D202" s="42" t="n"/>
      <c r="E202" s="42" t="n"/>
      <c r="F202" s="42" t="n"/>
      <c r="G202" s="42" t="n"/>
      <c r="H202" s="42" t="n"/>
      <c r="I202" s="42" t="n"/>
      <c r="J202" s="42" t="n"/>
      <c r="K202" s="42" t="n"/>
      <c r="L202" s="42" t="n"/>
    </row>
    <row r="203" ht="15" customHeight="1" s="24">
      <c r="A203" s="42" t="n"/>
      <c r="B203" s="43" t="n"/>
      <c r="C203" s="42" t="n"/>
      <c r="D203" s="42" t="n"/>
      <c r="E203" s="42" t="n"/>
      <c r="F203" s="42" t="n"/>
      <c r="G203" s="42" t="n"/>
      <c r="H203" s="42" t="n"/>
      <c r="I203" s="42" t="n"/>
      <c r="J203" s="42" t="n"/>
      <c r="K203" s="42" t="n"/>
      <c r="L203" s="42" t="n"/>
    </row>
    <row r="204" ht="15" customHeight="1" s="24">
      <c r="A204" s="42" t="n"/>
      <c r="B204" s="43" t="n"/>
      <c r="C204" s="42" t="n"/>
      <c r="D204" s="42" t="n"/>
      <c r="E204" s="42" t="n"/>
      <c r="F204" s="42" t="n"/>
      <c r="G204" s="42" t="n"/>
      <c r="H204" s="42" t="n"/>
      <c r="I204" s="42" t="n"/>
      <c r="J204" s="42" t="n"/>
      <c r="K204" s="42" t="n"/>
      <c r="L204" s="42" t="n"/>
    </row>
  </sheetData>
  <autoFilter ref="A4:L204"/>
  <dataValidations count="2">
    <dataValidation sqref="H5:H204" showDropDown="0" showInputMessage="0" showErrorMessage="0" allowBlank="1" type="list" errorStyle="stop" operator="between">
      <formula1>"Critical,High,Medium,Low"</formula1>
      <formula2>0</formula2>
    </dataValidation>
    <dataValidation sqref="I5:I204" showDropDown="0" showInputMessage="0" showErrorMessage="0" allowBlank="1" type="list" errorStyle="stop" operator="between">
      <formula1>"New,In Progress,Fixed,Retest Failed,Reopened,Closed,Rejected"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2026-10-14T14:29:53Z</dcterms:created>
  <dcterms:modified xmlns:dcterms="http://purl.org/dc/terms/" xmlns:xsi="http://www.w3.org/2001/XMLSchema-instance" xsi:type="dcterms:W3CDTF">2026-10-20T06:22:04Z</dcterms:modified>
  <cp:revision>0</cp:revision>
</cp:coreProperties>
</file>