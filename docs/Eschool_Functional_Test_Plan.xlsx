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Test Cases" sheetId="3" state="visible" r:id="rId5"/>
    <sheet name="Test Data" sheetId="4" state="visible" r:id="rId6"/>
    <sheet name="Defect Log" sheetId="5" state="visible" r:id="rId7"/>
  </sheets>
  <definedNames>
    <definedName function="false" hidden="true" localSheetId="4" name="_xlnm._FilterDatabase" vbProcedure="false">'Defect Log'!$A$4:$L$204</definedName>
    <definedName function="false" hidden="true" localSheetId="2" name="_xlnm._FilterDatabase" vbProcedure="false">'Test Cases'!$A$1:$O$336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<sst xmlns="http://schemas.openxmlformats.org/spreadsheetml/2006/main" count="3379" uniqueCount="1386">
  <si>
    <t xml:space="preserve">Eschool - Functional Test Plan</t>
  </si>
  <si>
    <t xml:space="preserve">Scope: everything built so far (Oct 2026 build, includes Admissions 'pick an existing parent')</t>
  </si>
  <si>
    <t xml:space="preserve">Purpose</t>
  </si>
  <si>
    <t xml:space="preserve">Manual functional test of the completed modules. Work through the 'Test Cases' sheet top to bottom; each row is one check.</t>
  </si>
  <si>
    <t xml:space="preserve">Modules covered</t>
  </si>
  <si>
    <t xml:space="preserve">Login &amp; Layout, Reusable Components, Class Sections, Subjects, Teachers, Parents, Admissions (incl. existing-parent picker), Students, Attendance, Documents, Users &amp; Staff, Roles &amp; Permissions, My Account, School Settings, Dashboard, role-based access, end-to-end flows, non-functional checks.</t>
  </si>
  <si>
    <t xml:space="preserve">NOT in scope</t>
  </si>
  <si>
    <t xml:space="preserve">Modules not built yet (Reports, Timetable, Fees, Exams, Results, Library, Notices, PTM, Calendar, Transport, Helpdesk, etc.): the sidebar items open the dashboard on purpose. Student / Parent portal logins are not built.</t>
  </si>
  <si>
    <t xml:space="preserve">Environment</t>
  </si>
  <si>
    <t xml:space="preserve">Web app: http://localhost:5173 - API: https://localhost:7100 - use a TEST database, never real data. Keep browser DevTools open (Console + Network): any red console error or HTTP 500 is a defect on its own.</t>
  </si>
  <si>
    <t xml:space="preserve">Test data</t>
  </si>
  <si>
    <t xml:space="preserve">All test records should start with 'ZT' (e.g. 'ZT Class A') so they are easy to find and delete. See sheet 'Test Data' for the users to create and sample values.</t>
  </si>
  <si>
    <t xml:space="preserve">How to execute</t>
  </si>
  <si>
    <t xml:space="preserve">1) Filter 'Test Cases' by Module (use the filter arrows in row 1). 2) Do the steps. 3) Fill the yellow columns: Actual Result (only when different or useful), Status, Tested By, Date, Defect ID, Comments. 4) For every Fail, add a row in 'Defect Log' and put its ID in the test row.</t>
  </si>
  <si>
    <t xml:space="preserve">Status values</t>
  </si>
  <si>
    <t xml:space="preserve">Not Run (default) | Pass | Fail | Blocked (cannot test because of another defect) | N/A (not applicable)</t>
  </si>
  <si>
    <t xml:space="preserve">Type / Priority</t>
  </si>
  <si>
    <t xml:space="preserve">Type: Functional, Validation (bad input), Negative (should be refused), Security (permissions / data exposure), UI, Exploratory (the correct behaviour is not fixed: describe what you see). Priority: High = core flow or security, run first; Medium; Low.</t>
  </si>
  <si>
    <t xml:space="preserve">Roles</t>
  </si>
  <si>
    <t xml:space="preserve">Cases name the role to log in as. Admin sees everything. Clerk, Supervisor and Teacher are limited roles (create them in Users &amp; Staff; see 'Test Data'). 'Role without X' means create a custom role in Roles &amp; Permissions that lacks permission X.</t>
  </si>
  <si>
    <t xml:space="preserve">Known limitations</t>
  </si>
  <si>
    <t xml:space="preserve">1) Attendance 'today' currently follows UTC, so between 00:00 and 04:00 Abu Dhabi time it can show yesterday (fix planned: F2). 2) Parent e-mail uniqueness is not enforced (PAR-14). 3) Lists load fully (no server paging yet): expect slowness only at very large volumes. 4) Fee, report-card and attendance-report buttons on students show 'not yet available'.</t>
  </si>
  <si>
    <t xml:space="preserve">Summary</t>
  </si>
  <si>
    <t xml:space="preserve">The 'Summary' sheet counts results automatically from the Status column. Do not type in it.</t>
  </si>
  <si>
    <t xml:space="preserve">Colour key</t>
  </si>
  <si>
    <t xml:space="preserve">Yellow cells</t>
  </si>
  <si>
    <t xml:space="preserve">You fill these in (Actual Result, Status, Tested By, Date, Defect ID, Comments).</t>
  </si>
  <si>
    <t xml:space="preserve">Status colours</t>
  </si>
  <si>
    <t xml:space="preserve">Pass = green, Fail = red, Blocked = orange, Not Run = grey (automatic).</t>
  </si>
  <si>
    <t xml:space="preserve">Test Execution Summary</t>
  </si>
  <si>
    <t xml:space="preserve">Calculated automatically from the Status column of 'Test Cases'.</t>
  </si>
  <si>
    <t xml:space="preserve">Module</t>
  </si>
  <si>
    <t xml:space="preserve">Total</t>
  </si>
  <si>
    <t xml:space="preserve">Pass</t>
  </si>
  <si>
    <t xml:space="preserve">Fail</t>
  </si>
  <si>
    <t xml:space="preserve">Blocked</t>
  </si>
  <si>
    <t xml:space="preserve">N/A</t>
  </si>
  <si>
    <t xml:space="preserve">Not Run</t>
  </si>
  <si>
    <t xml:space="preserve">% Executed</t>
  </si>
  <si>
    <t xml:space="preserve">% Pass (of executed)</t>
  </si>
  <si>
    <t xml:space="preserve">Login &amp; Layout</t>
  </si>
  <si>
    <t xml:space="preserve">Reusable Components</t>
  </si>
  <si>
    <t xml:space="preserve">Class Sections</t>
  </si>
  <si>
    <t xml:space="preserve">Subjects</t>
  </si>
  <si>
    <t xml:space="preserve">Teachers</t>
  </si>
  <si>
    <t xml:space="preserve">Parents</t>
  </si>
  <si>
    <t xml:space="preserve">Admissions</t>
  </si>
  <si>
    <t xml:space="preserve">Students</t>
  </si>
  <si>
    <t xml:space="preserve">Attendance</t>
  </si>
  <si>
    <t xml:space="preserve">Documents</t>
  </si>
  <si>
    <t xml:space="preserve">Users &amp; Staff</t>
  </si>
  <si>
    <t xml:space="preserve">Roles &amp; Permissions</t>
  </si>
  <si>
    <t xml:space="preserve">My Account</t>
  </si>
  <si>
    <t xml:space="preserve">School Settings</t>
  </si>
  <si>
    <t xml:space="preserve">Dashboard</t>
  </si>
  <si>
    <t xml:space="preserve">Roles &amp; Access (RBAC)</t>
  </si>
  <si>
    <t xml:space="preserve">End-to-End</t>
  </si>
  <si>
    <t xml:space="preserve">Non-functional</t>
  </si>
  <si>
    <t xml:space="preserve">TOTAL</t>
  </si>
  <si>
    <t xml:space="preserve">High-priority cases</t>
  </si>
  <si>
    <t xml:space="preserve">High priority total</t>
  </si>
  <si>
    <t xml:space="preserve">High priority failed</t>
  </si>
  <si>
    <t xml:space="preserve">High priority not yet run</t>
  </si>
  <si>
    <t xml:space="preserve">Open defects (Defect Log)</t>
  </si>
  <si>
    <t xml:space="preserve">Open (New, In Progress, Reopened, Retest Failed)</t>
  </si>
  <si>
    <t xml:space="preserve">Critical / High severity still open</t>
  </si>
  <si>
    <t xml:space="preserve">Test ID</t>
  </si>
  <si>
    <t xml:space="preserve">Feature / Area</t>
  </si>
  <si>
    <t xml:space="preserve">Type</t>
  </si>
  <si>
    <t xml:space="preserve">Priority</t>
  </si>
  <si>
    <t xml:space="preserve">Log in as</t>
  </si>
  <si>
    <t xml:space="preserve">Preconditions / Data</t>
  </si>
  <si>
    <t xml:space="preserve">Steps</t>
  </si>
  <si>
    <t xml:space="preserve">Expected Result</t>
  </si>
  <si>
    <t xml:space="preserve">Actual Result</t>
  </si>
  <si>
    <t xml:space="preserve">Status</t>
  </si>
  <si>
    <t xml:space="preserve">Tested By</t>
  </si>
  <si>
    <t xml:space="preserve">Date Tested</t>
  </si>
  <si>
    <t xml:space="preserve">Defect ID</t>
  </si>
  <si>
    <t xml:space="preserve">Comments</t>
  </si>
  <si>
    <t xml:space="preserve">LOG-01</t>
  </si>
  <si>
    <t xml:space="preserve">Access control</t>
  </si>
  <si>
    <t xml:space="preserve">Negative</t>
  </si>
  <si>
    <t xml:space="preserve">High</t>
  </si>
  <si>
    <t xml:space="preserve">None</t>
  </si>
  <si>
    <t xml:space="preserve">Logged out</t>
  </si>
  <si>
    <t xml:space="preserve">Open the app root URL</t>
  </si>
  <si>
    <t xml:space="preserve">Redirected to the login page</t>
  </si>
  <si>
    <t xml:space="preserve">LOG-02</t>
  </si>
  <si>
    <t xml:space="preserve">Open /students directly</t>
  </si>
  <si>
    <t xml:space="preserve">Redirected to the login page; no student data visible</t>
  </si>
  <si>
    <t xml:space="preserve">LOG-03</t>
  </si>
  <si>
    <t xml:space="preserve">Login</t>
  </si>
  <si>
    <t xml:space="preserve">Functional</t>
  </si>
  <si>
    <t xml:space="preserve">Admin</t>
  </si>
  <si>
    <t xml:space="preserve">Valid Admin account</t>
  </si>
  <si>
    <t xml:space="preserve">Enter username + correct password, Sign in</t>
  </si>
  <si>
    <t xml:space="preserve">Dashboard opens; header shows 'Welcome, &lt;username&gt;'</t>
  </si>
  <si>
    <t xml:space="preserve">LOG-04</t>
  </si>
  <si>
    <t xml:space="preserve">Medium</t>
  </si>
  <si>
    <t xml:space="preserve">Log in using the e-mail address instead of the username</t>
  </si>
  <si>
    <t xml:space="preserve">Login works</t>
  </si>
  <si>
    <t xml:space="preserve">LOG-05</t>
  </si>
  <si>
    <t xml:space="preserve">Enter a wrong password</t>
  </si>
  <si>
    <t xml:space="preserve">Message 'Invalid username/email or password.'; stays on login; button usable again</t>
  </si>
  <si>
    <t xml:space="preserve">LOG-06</t>
  </si>
  <si>
    <t xml:space="preserve">Validation</t>
  </si>
  <si>
    <t xml:space="preserve">Submit the empty form</t>
  </si>
  <si>
    <t xml:space="preserve">Fields flagged / message shown; no crash</t>
  </si>
  <si>
    <t xml:space="preserve">LOG-07</t>
  </si>
  <si>
    <t xml:space="preserve">UI</t>
  </si>
  <si>
    <t xml:space="preserve">Low</t>
  </si>
  <si>
    <t xml:space="preserve">Click Sign in twice quickly</t>
  </si>
  <si>
    <t xml:space="preserve">Button disabled while submitting; only one request sent</t>
  </si>
  <si>
    <t xml:space="preserve">LOG-08</t>
  </si>
  <si>
    <t xml:space="preserve">Session</t>
  </si>
  <si>
    <t xml:space="preserve">Logged in</t>
  </si>
  <si>
    <t xml:space="preserve">Refresh the browser page</t>
  </si>
  <si>
    <t xml:space="preserve">Still logged in</t>
  </si>
  <si>
    <t xml:space="preserve">LOG-09</t>
  </si>
  <si>
    <t xml:space="preserve">Clear the saved session (browser storage) and navigate to any page</t>
  </si>
  <si>
    <t xml:space="preserve">Redirected to login</t>
  </si>
  <si>
    <t xml:space="preserve">LOG-10</t>
  </si>
  <si>
    <t xml:space="preserve">Let the session expire (or edit expiry to the past in storage) and reload</t>
  </si>
  <si>
    <t xml:space="preserve">Session cleared and login shown</t>
  </si>
  <si>
    <t xml:space="preserve">LOG-11</t>
  </si>
  <si>
    <t xml:space="preserve">Tamper with the saved token, then open any list</t>
  </si>
  <si>
    <t xml:space="preserve">App redirects to login automatically</t>
  </si>
  <si>
    <t xml:space="preserve">LOG-12</t>
  </si>
  <si>
    <t xml:space="preserve">Click Logout in the sidebar, then press the browser Back button</t>
  </si>
  <si>
    <t xml:space="preserve">Back at login; Back button does not show protected pages</t>
  </si>
  <si>
    <t xml:space="preserve">LOG-13</t>
  </si>
  <si>
    <t xml:space="preserve">Security</t>
  </si>
  <si>
    <t xml:space="preserve">Any</t>
  </si>
  <si>
    <t xml:space="preserve">Account with a few wrong attempts</t>
  </si>
  <si>
    <t xml:space="preserve">Enter the wrong password repeatedly (about 5 times) for one account</t>
  </si>
  <si>
    <t xml:space="preserve">Account becomes locked with a clear message; correct password is refused until an Admin unlocks (see USR-15)</t>
  </si>
  <si>
    <t xml:space="preserve">LOG-14</t>
  </si>
  <si>
    <t xml:space="preserve">User whose status is Inactive or Suspended</t>
  </si>
  <si>
    <t xml:space="preserve">Try to log in</t>
  </si>
  <si>
    <t xml:space="preserve">Login refused with a clear message</t>
  </si>
  <si>
    <t xml:space="preserve">LOG-15</t>
  </si>
  <si>
    <t xml:space="preserve">User created by Admin (MustChangePassword)</t>
  </si>
  <si>
    <t xml:space="preserve">Log in with the temporary password</t>
  </si>
  <si>
    <t xml:space="preserve">Forced to the Change Password page; no other page is reachable until the password is changed</t>
  </si>
  <si>
    <t xml:space="preserve">LAY-01</t>
  </si>
  <si>
    <t xml:space="preserve">Layout</t>
  </si>
  <si>
    <t xml:space="preserve">Look at the sidebar</t>
  </si>
  <si>
    <t xml:space="preserve">Sections visible (Overview, Records, Daily, ...); current page highlighted</t>
  </si>
  <si>
    <t xml:space="preserve">LAY-02</t>
  </si>
  <si>
    <t xml:space="preserve">Click each built item: Dashboard, Admissions, Students, Classes &amp; Sections, Parents, Subjects, Teachers, Attendance, Documents, Users &amp; Staff, Roles &amp; Permissions, My Account, Settings</t>
  </si>
  <si>
    <t xml:space="preserve">Correct page opens; URL changes</t>
  </si>
  <si>
    <t xml:space="preserve">LAY-03</t>
  </si>
  <si>
    <t xml:space="preserve">Click a module that is not built yet (e.g. Reports, Timetable, Fees)</t>
  </si>
  <si>
    <t xml:space="preserve">Redirects to the dashboard with no error (known placeholder)</t>
  </si>
  <si>
    <t xml:space="preserve">LAY-04</t>
  </si>
  <si>
    <t xml:space="preserve">Toggle dark mode on several pages, refresh</t>
  </si>
  <si>
    <t xml:space="preserve">Theme switches, all pages readable in both themes, choice survives refresh</t>
  </si>
  <si>
    <t xml:space="preserve">LAY-05</t>
  </si>
  <si>
    <t xml:space="preserve">Narrow the window to phone width</t>
  </si>
  <si>
    <t xml:space="preserve">Layout usable; tables scroll horizontally; modals not clipped</t>
  </si>
  <si>
    <t xml:space="preserve">LAY-06</t>
  </si>
  <si>
    <t xml:space="preserve">Open an unknown URL such as /xyz</t>
  </si>
  <si>
    <t xml:space="preserve">Redirected to the dashboard</t>
  </si>
  <si>
    <t xml:space="preserve">LAY-07</t>
  </si>
  <si>
    <t xml:space="preserve">Check the top bar</t>
  </si>
  <si>
    <t xml:space="preserve">School name from Settings is shown (and updates after it is changed in Settings)</t>
  </si>
  <si>
    <t xml:space="preserve">LAY-08</t>
  </si>
  <si>
    <t xml:space="preserve">Clerk</t>
  </si>
  <si>
    <t xml:space="preserve">Clerk logged in</t>
  </si>
  <si>
    <t xml:space="preserve">Look at the sidebar and try URLs of pages the role may not use (e.g. /roles-permissions, /settings)</t>
  </si>
  <si>
    <t xml:space="preserve">Items the user may not use are hidden or the page shows a clear 'no permission' state; no data from the page is shown</t>
  </si>
  <si>
    <t xml:space="preserve">CMP-01</t>
  </si>
  <si>
    <t xml:space="preserve">Validation modal</t>
  </si>
  <si>
    <t xml:space="preserve">Trigger a server validation error on any form</t>
  </si>
  <si>
    <t xml:space="preserve">Modal lists every server message; closes with button / X; no raw JSON shown</t>
  </si>
  <si>
    <t xml:space="preserve">CMP-02</t>
  </si>
  <si>
    <t xml:space="preserve">Trigger a business-rule error (e.g. class is full)</t>
  </si>
  <si>
    <t xml:space="preserve">Server message shown clearly (e.g. 'is full (1/1)')</t>
  </si>
  <si>
    <t xml:space="preserve">CMP-03</t>
  </si>
  <si>
    <t xml:space="preserve">Confirm dialog</t>
  </si>
  <si>
    <t xml:space="preserve">Open any delete confirmation; Cancel, then repeat and Confirm</t>
  </si>
  <si>
    <t xml:space="preserve">Cancel keeps data; Confirm does the action exactly once</t>
  </si>
  <si>
    <t xml:space="preserve">CMP-04</t>
  </si>
  <si>
    <t xml:space="preserve">Details modal</t>
  </si>
  <si>
    <t xml:space="preserve">Open any View (eye) modal</t>
  </si>
  <si>
    <t xml:space="preserve">All sections shown; empty values show a dash; closes cleanly</t>
  </si>
  <si>
    <t xml:space="preserve">CMP-05</t>
  </si>
  <si>
    <t xml:space="preserve">Table footer / paging</t>
  </si>
  <si>
    <t xml:space="preserve">List with &gt;25 rows</t>
  </si>
  <si>
    <t xml:space="preserve">Check footer text; change page size 10/25/50; use Prev/Next</t>
  </si>
  <si>
    <t xml:space="preserve">'Showing x-y of N' correct; page size changes rows; Prev/Next disabled at the ends</t>
  </si>
  <si>
    <t xml:space="preserve">CMP-06</t>
  </si>
  <si>
    <t xml:space="preserve">Quick search</t>
  </si>
  <si>
    <t xml:space="preserve">Type in the search box above a table</t>
  </si>
  <si>
    <t xml:space="preserve">Rows filter live; paging resets to page 1</t>
  </si>
  <si>
    <t xml:space="preserve">CMP-07</t>
  </si>
  <si>
    <t xml:space="preserve">Export CSV</t>
  </si>
  <si>
    <t xml:space="preserve">Filter a list, click Export CSV, open in Excel</t>
  </si>
  <si>
    <t xml:space="preserve">File downloads; header + rows match what is filtered on screen; special characters/commas not broken</t>
  </si>
  <si>
    <t xml:space="preserve">CMP-08</t>
  </si>
  <si>
    <t xml:space="preserve">Modals</t>
  </si>
  <si>
    <t xml:space="preserve">Open a modal; press Esc; scroll the page behind</t>
  </si>
  <si>
    <t xml:space="preserve">Esc/X closes where supported; background does not scroll; focus lands in first field</t>
  </si>
  <si>
    <t xml:space="preserve">CMP-09</t>
  </si>
  <si>
    <t xml:space="preserve">Error state</t>
  </si>
  <si>
    <t xml:space="preserve">API stopped</t>
  </si>
  <si>
    <t xml:space="preserve">Open a list page while the API is down</t>
  </si>
  <si>
    <t xml:space="preserve">Error message or error state; not a blank page or endless spinner</t>
  </si>
  <si>
    <t xml:space="preserve">CMP-10</t>
  </si>
  <si>
    <t xml:space="preserve">Toasts</t>
  </si>
  <si>
    <t xml:space="preserve">Save something successfully; also cause an error</t>
  </si>
  <si>
    <t xml:space="preserve">Success/error toast appears and disappears; text is understandable</t>
  </si>
  <si>
    <t xml:space="preserve">CLS-01</t>
  </si>
  <si>
    <t xml:space="preserve">List</t>
  </si>
  <si>
    <t xml:space="preserve">Open Classes &amp; Sections</t>
  </si>
  <si>
    <t xml:space="preserve">List loads; Academic Year, Section, Stage, Medium filters are populated</t>
  </si>
  <si>
    <t xml:space="preserve">CLS-02</t>
  </si>
  <si>
    <t xml:space="preserve">Create</t>
  </si>
  <si>
    <t xml:space="preserve">Click Add Class, leave all empty, Save</t>
  </si>
  <si>
    <t xml:space="preserve">Required-field messages; nothing created</t>
  </si>
  <si>
    <t xml:space="preserve">CLS-03</t>
  </si>
  <si>
    <t xml:space="preserve">Add Name 'ZT Class', Section 'A', Stage Primary, Medium English, Stream General, Capacity 30</t>
  </si>
  <si>
    <t xml:space="preserve">Created; appears with display name like 'ZT Class A (2026-2027)'; code auto-generated</t>
  </si>
  <si>
    <t xml:space="preserve">CLS-04</t>
  </si>
  <si>
    <t xml:space="preserve">ZT Class A exists</t>
  </si>
  <si>
    <t xml:space="preserve">Add the same class again</t>
  </si>
  <si>
    <t xml:space="preserve">Error about duplicate; nothing created</t>
  </si>
  <si>
    <t xml:space="preserve">CLS-05</t>
  </si>
  <si>
    <t xml:space="preserve">Capacity 0 and 201; Grade 13; Floor 21</t>
  </si>
  <si>
    <t xml:space="preserve">Each gives a validation message</t>
  </si>
  <si>
    <t xml:space="preserve">CLS-06</t>
  </si>
  <si>
    <t xml:space="preserve">Leave Grade blank (LKG/UKG case)</t>
  </si>
  <si>
    <t xml:space="preserve">Accepted</t>
  </si>
  <si>
    <t xml:space="preserve">CLS-07</t>
  </si>
  <si>
    <t xml:space="preserve">Edit</t>
  </si>
  <si>
    <t xml:space="preserve">Edit a class, change Room, Save</t>
  </si>
  <si>
    <t xml:space="preserve">Saved; reflected in the list</t>
  </si>
  <si>
    <t xml:space="preserve">CLS-08</t>
  </si>
  <si>
    <t xml:space="preserve">Class with students</t>
  </si>
  <si>
    <t xml:space="preserve">Lower capacity below current student count</t>
  </si>
  <si>
    <t xml:space="preserve">Error 'Capacity cannot be lower than the current strength'</t>
  </si>
  <si>
    <t xml:space="preserve">CLS-09</t>
  </si>
  <si>
    <t xml:space="preserve">Set the class Inactive</t>
  </si>
  <si>
    <t xml:space="preserve">Row shows Inactive; class no longer appears in admission / student / enrol class lists</t>
  </si>
  <si>
    <t xml:space="preserve">CLS-10</t>
  </si>
  <si>
    <t xml:space="preserve">View</t>
  </si>
  <si>
    <t xml:space="preserve">Click View (eye)</t>
  </si>
  <si>
    <t xml:space="preserve">Details show enrolled count and teacher info</t>
  </si>
  <si>
    <t xml:space="preserve">CLS-11</t>
  </si>
  <si>
    <t xml:space="preserve">Filters</t>
  </si>
  <si>
    <t xml:space="preserve">Use each filter and the search, then combine, then clear</t>
  </si>
  <si>
    <t xml:space="preserve">Lists narrow correctly; combining works; clearing restores all</t>
  </si>
  <si>
    <t xml:space="preserve">CLS-12</t>
  </si>
  <si>
    <t xml:space="preserve">Delete</t>
  </si>
  <si>
    <t xml:space="preserve">Empty class</t>
  </si>
  <si>
    <t xml:space="preserve">Delete the class</t>
  </si>
  <si>
    <t xml:space="preserve">Confirm dialog, then row disappears</t>
  </si>
  <si>
    <t xml:space="preserve">CLS-13</t>
  </si>
  <si>
    <t xml:space="preserve">Class with students/subjects</t>
  </si>
  <si>
    <t xml:space="preserve">Refused with message to mark it Inactive instead</t>
  </si>
  <si>
    <t xml:space="preserve">CLS-14</t>
  </si>
  <si>
    <t xml:space="preserve">Permissions</t>
  </si>
  <si>
    <t xml:space="preserve">As Clerk try Add / Edit / Delete class</t>
  </si>
  <si>
    <t xml:space="preserve">Server refuses (403); UI shows a clear message; no data changed</t>
  </si>
  <si>
    <t xml:space="preserve">SUB-01</t>
  </si>
  <si>
    <t xml:space="preserve">Open Subjects</t>
  </si>
  <si>
    <t xml:space="preserve">List and filters (Class, Academic Year, Type) work</t>
  </si>
  <si>
    <t xml:space="preserve">SUB-02</t>
  </si>
  <si>
    <t xml:space="preserve">ZT Class A</t>
  </si>
  <si>
    <t xml:space="preserve">Add 'ZT Math', class ZT Class A, Theory, max 100, pass 35</t>
  </si>
  <si>
    <t xml:space="preserve">Created</t>
  </si>
  <si>
    <t xml:space="preserve">SUB-03</t>
  </si>
  <si>
    <t xml:space="preserve">Switch Type to Both</t>
  </si>
  <si>
    <t xml:space="preserve">Theory max/pass and Practical max/pass fields appear; single max/pass hidden</t>
  </si>
  <si>
    <t xml:space="preserve">SUB-04</t>
  </si>
  <si>
    <t xml:space="preserve">Type Both, leave Theory max empty, Save</t>
  </si>
  <si>
    <t xml:space="preserve">Message shown; nothing sent</t>
  </si>
  <si>
    <t xml:space="preserve">SUB-05</t>
  </si>
  <si>
    <t xml:space="preserve">Pass marks greater than max marks</t>
  </si>
  <si>
    <t xml:space="preserve">Validation message</t>
  </si>
  <si>
    <t xml:space="preserve">SUB-06</t>
  </si>
  <si>
    <t xml:space="preserve">Leave Code empty</t>
  </si>
  <si>
    <t xml:space="preserve">Code auto-generated from the name</t>
  </si>
  <si>
    <t xml:space="preserve">SUB-07</t>
  </si>
  <si>
    <t xml:space="preserve">Create a second subject with the same code in the same class</t>
  </si>
  <si>
    <t xml:space="preserve">Error 'Subject Code + Class must be unique'</t>
  </si>
  <si>
    <t xml:space="preserve">SUB-08</t>
  </si>
  <si>
    <t xml:space="preserve">Edit marks and save</t>
  </si>
  <si>
    <t xml:space="preserve">Saved</t>
  </si>
  <si>
    <t xml:space="preserve">SUB-09</t>
  </si>
  <si>
    <t xml:space="preserve">Filters and search, combined</t>
  </si>
  <si>
    <t xml:space="preserve">Work and combine</t>
  </si>
  <si>
    <t xml:space="preserve">SUB-10</t>
  </si>
  <si>
    <t xml:space="preserve">Delete a subject</t>
  </si>
  <si>
    <t xml:space="preserve">Confirm, then removed</t>
  </si>
  <si>
    <t xml:space="preserve">SUB-11</t>
  </si>
  <si>
    <t xml:space="preserve">Teacher link</t>
  </si>
  <si>
    <t xml:space="preserve">Subject assigned to a teacher</t>
  </si>
  <si>
    <t xml:space="preserve">View the subject</t>
  </si>
  <si>
    <t xml:space="preserve">Teacher name shown</t>
  </si>
  <si>
    <t xml:space="preserve">TCH-01</t>
  </si>
  <si>
    <t xml:space="preserve">Open Teachers</t>
  </si>
  <si>
    <t xml:space="preserve">Stat tiles (All/Active/Inactive/Suspended) show correct counts; list loads</t>
  </si>
  <si>
    <t xml:space="preserve">TCH-02</t>
  </si>
  <si>
    <t xml:space="preserve">Click a status tile</t>
  </si>
  <si>
    <t xml:space="preserve">List filters to that status</t>
  </si>
  <si>
    <t xml:space="preserve">TCH-03</t>
  </si>
  <si>
    <t xml:space="preserve">Add Teacher with all fields and a strong password (use Users &amp; Staff &gt; New with role Teacher if redirected)</t>
  </si>
  <si>
    <t xml:space="preserve">Created; counts update; teacher can log in</t>
  </si>
  <si>
    <t xml:space="preserve">TCH-04</t>
  </si>
  <si>
    <t xml:space="preserve">Use weak password 'abc'</t>
  </si>
  <si>
    <t xml:space="preserve">Message states exactly what is missing (8 chars, upper case, digit, special)</t>
  </si>
  <si>
    <t xml:space="preserve">TCH-05</t>
  </si>
  <si>
    <t xml:space="preserve">Leave the password empty</t>
  </si>
  <si>
    <t xml:space="preserve">'Login password is required.'</t>
  </si>
  <si>
    <t xml:space="preserve">TCH-06</t>
  </si>
  <si>
    <t xml:space="preserve">Use a username or e-mail that already exists</t>
  </si>
  <si>
    <t xml:space="preserve">Error modal about duplicate</t>
  </si>
  <si>
    <t xml:space="preserve">TCH-07</t>
  </si>
  <si>
    <t xml:space="preserve">Edit teacher, leave password blank, Save</t>
  </si>
  <si>
    <t xml:space="preserve">Saved; old password still works</t>
  </si>
  <si>
    <t xml:space="preserve">TCH-08</t>
  </si>
  <si>
    <t xml:space="preserve">Set the teacher to Suspended (from Users &amp; Staff)</t>
  </si>
  <si>
    <t xml:space="preserve">Counts update; teacher is signed out and can no longer log in</t>
  </si>
  <si>
    <t xml:space="preserve">TCH-09</t>
  </si>
  <si>
    <t xml:space="preserve">Assignments</t>
  </si>
  <si>
    <t xml:space="preserve">Subjects exist</t>
  </si>
  <si>
    <t xml:space="preserve">Open Teacher Profile &amp; Assignments</t>
  </si>
  <si>
    <t xml:space="preserve">Stat tiles shown; assigned subjects grouped by class</t>
  </si>
  <si>
    <t xml:space="preserve">TCH-10</t>
  </si>
  <si>
    <t xml:space="preserve">Pick a class: subject checklist</t>
  </si>
  <si>
    <t xml:space="preserve">Only that class's subjects; one already taught by another teacher is disabled with 'Already taught by &lt;name&gt;'</t>
  </si>
  <si>
    <t xml:space="preserve">TCH-11</t>
  </si>
  <si>
    <t xml:space="preserve">Assign subjects</t>
  </si>
  <si>
    <t xml:space="preserve">Appear in the teacher's profile</t>
  </si>
  <si>
    <t xml:space="preserve">TCH-12</t>
  </si>
  <si>
    <t xml:space="preserve">Tick 'Assign as Class Teacher' while assigning</t>
  </si>
  <si>
    <t xml:space="preserve">Class shows a star 'Class Teacher'</t>
  </si>
  <si>
    <t xml:space="preserve">TCH-13</t>
  </si>
  <si>
    <t xml:space="preserve">Class already has a class teacher</t>
  </si>
  <si>
    <t xml:space="preserve">Make another teacher class teacher</t>
  </si>
  <si>
    <t xml:space="preserve">Error naming the current class teacher</t>
  </si>
  <si>
    <t xml:space="preserve">TCH-14</t>
  </si>
  <si>
    <t xml:space="preserve">Unset class teacher</t>
  </si>
  <si>
    <t xml:space="preserve">Star removed</t>
  </si>
  <si>
    <t xml:space="preserve">TCH-15</t>
  </si>
  <si>
    <t xml:space="preserve">Remove a subject assignment</t>
  </si>
  <si>
    <t xml:space="preserve">Unassigned</t>
  </si>
  <si>
    <t xml:space="preserve">TCH-16</t>
  </si>
  <si>
    <t xml:space="preserve">Teacher with assignments</t>
  </si>
  <si>
    <t xml:space="preserve">Delete the teacher</t>
  </si>
  <si>
    <t xml:space="preserve">Refused with counts of what blocks it</t>
  </si>
  <si>
    <t xml:space="preserve">TCH-17</t>
  </si>
  <si>
    <t xml:space="preserve">Teacher without assignments</t>
  </si>
  <si>
    <t xml:space="preserve">Confirm, removed; login no longer works</t>
  </si>
  <si>
    <t xml:space="preserve">TCH-18</t>
  </si>
  <si>
    <t xml:space="preserve">Search</t>
  </si>
  <si>
    <t xml:space="preserve">Search by name / username / e-mail</t>
  </si>
  <si>
    <t xml:space="preserve">List filters</t>
  </si>
  <si>
    <t xml:space="preserve">PAR-01</t>
  </si>
  <si>
    <t xml:space="preserve">Open Parents</t>
  </si>
  <si>
    <t xml:space="preserve">List, status tiles and Contact Method filter work</t>
  </si>
  <si>
    <t xml:space="preserve">PAR-02</t>
  </si>
  <si>
    <t xml:space="preserve">Add a parent with only name + mobile</t>
  </si>
  <si>
    <t xml:space="preserve">PAR-03</t>
  </si>
  <si>
    <t xml:space="preserve">Add without mobile; invalid e-mail</t>
  </si>
  <si>
    <t xml:space="preserve">Messages shown</t>
  </si>
  <si>
    <t xml:space="preserve">PAR-04</t>
  </si>
  <si>
    <t xml:space="preserve">Fill all sections (contact preferences, notification checkboxes, address)</t>
  </si>
  <si>
    <t xml:space="preserve">Saved; Edit shows the same values</t>
  </si>
  <si>
    <t xml:space="preserve">Reworded Oct 15</t>
  </si>
  <si>
    <t xml:space="preserve">PAR-05</t>
  </si>
  <si>
    <t xml:space="preserve">Set status Inactive</t>
  </si>
  <si>
    <t xml:space="preserve">Counts update</t>
  </si>
  <si>
    <t xml:space="preserve">PAR-06</t>
  </si>
  <si>
    <t xml:space="preserve">Details correct</t>
  </si>
  <si>
    <t xml:space="preserve">PAR-07</t>
  </si>
  <si>
    <t xml:space="preserve">Linked children</t>
  </si>
  <si>
    <t xml:space="preserve">Parent with a linked student</t>
  </si>
  <si>
    <t xml:space="preserve">Click Linked Children</t>
  </si>
  <si>
    <t xml:space="preserve">Lists linked students with relation and primary star; empty state when none</t>
  </si>
  <si>
    <t xml:space="preserve">PAR-08</t>
  </si>
  <si>
    <t xml:space="preserve">Link a student from the parent side (search student, relation, primary)</t>
  </si>
  <si>
    <t xml:space="preserve">Appears in the list</t>
  </si>
  <si>
    <t xml:space="preserve">PAR-09</t>
  </si>
  <si>
    <t xml:space="preserve">Link the same student again</t>
  </si>
  <si>
    <t xml:space="preserve">Error 'already linked'</t>
  </si>
  <si>
    <t xml:space="preserve">PAR-10</t>
  </si>
  <si>
    <t xml:space="preserve">Two parents on one student</t>
  </si>
  <si>
    <t xml:space="preserve">Make the second parent primary</t>
  </si>
  <si>
    <t xml:space="preserve">Star moves; only one primary</t>
  </si>
  <si>
    <t xml:space="preserve">PAR-11</t>
  </si>
  <si>
    <t xml:space="preserve">Unlink a student</t>
  </si>
  <si>
    <t xml:space="preserve">PAR-12</t>
  </si>
  <si>
    <t xml:space="preserve">Fees</t>
  </si>
  <si>
    <t xml:space="preserve">Click Fee Records</t>
  </si>
  <si>
    <t xml:space="preserve">'Not yet available' style message (module not built)</t>
  </si>
  <si>
    <t xml:space="preserve">PAR-13</t>
  </si>
  <si>
    <t xml:space="preserve">Parent with NO linked children</t>
  </si>
  <si>
    <t xml:space="preserve">Delete the parent</t>
  </si>
  <si>
    <t xml:space="preserve">Confirm, removed (a parent with children is refused: see PAR-17)</t>
  </si>
  <si>
    <t xml:space="preserve">PAR-14</t>
  </si>
  <si>
    <t xml:space="preserve">Exploratory</t>
  </si>
  <si>
    <t xml:space="preserve">Another parent has e-mail X</t>
  </si>
  <si>
    <t xml:space="preserve">Create a parent with the same e-mail X</t>
  </si>
  <si>
    <t xml:space="preserve">KNOWN GAP: currently accepted. Record the result</t>
  </si>
  <si>
    <t xml:space="preserve">PAR-15</t>
  </si>
  <si>
    <t xml:space="preserve">Filters and search</t>
  </si>
  <si>
    <t xml:space="preserve">Work</t>
  </si>
  <si>
    <t xml:space="preserve">PAR-16</t>
  </si>
  <si>
    <t xml:space="preserve">Scoped access</t>
  </si>
  <si>
    <t xml:space="preserve">Teacher</t>
  </si>
  <si>
    <t xml:space="preserve">Teacher is class teacher of ZT Class A</t>
  </si>
  <si>
    <t xml:space="preserve">Open Parents as the teacher</t>
  </si>
  <si>
    <t xml:space="preserve">Only parents of students in the teacher's own classes appear; no other family's data</t>
  </si>
  <si>
    <t xml:space="preserve">ADM-01</t>
  </si>
  <si>
    <t xml:space="preserve">List / pipeline</t>
  </si>
  <si>
    <t xml:space="preserve">Open Admissions</t>
  </si>
  <si>
    <t xml:space="preserve">Tabs All, Registered, Admitted, Enrolled, Rejected, each with a count</t>
  </si>
  <si>
    <t xml:space="preserve">ADM-02</t>
  </si>
  <si>
    <t xml:space="preserve">Click each tab</t>
  </si>
  <si>
    <t xml:space="preserve">Rows filter; counts match</t>
  </si>
  <si>
    <t xml:space="preserve">ADM-03</t>
  </si>
  <si>
    <t xml:space="preserve">Use filters: Academic Year, Admission Type, Applied-for Class, date from/to, search</t>
  </si>
  <si>
    <t xml:space="preserve">ADM-04</t>
  </si>
  <si>
    <t xml:space="preserve">One application per status</t>
  </si>
  <si>
    <t xml:space="preserve">Check the row actions in each status</t>
  </si>
  <si>
    <t xml:space="preserve">Registered: view, edit, confirm, reject, delete. Admitted: view, edit, enrol, reject, delete. Enrolled: view, edit, link to student, delete (no confirm/enrol/reject). Rejected: view reason, delete</t>
  </si>
  <si>
    <t xml:space="preserve">ADM-05</t>
  </si>
  <si>
    <t xml:space="preserve">Matches the filtered rows</t>
  </si>
  <si>
    <t xml:space="preserve">ADM-10</t>
  </si>
  <si>
    <t xml:space="preserve">Register</t>
  </si>
  <si>
    <t xml:space="preserve">Click New Registration, Save empty</t>
  </si>
  <si>
    <t xml:space="preserve">Required-field messages</t>
  </si>
  <si>
    <t xml:space="preserve">ADM-11</t>
  </si>
  <si>
    <t xml:space="preserve">Fill applicant, class (only Active classes listed), type, phone; Save</t>
  </si>
  <si>
    <t xml:space="preserve">Saved; row under Registered with a REG-... number</t>
  </si>
  <si>
    <t xml:space="preserve">ADM-12</t>
  </si>
  <si>
    <t xml:space="preserve">Add a Father and a Mother row (Add guardian)</t>
  </si>
  <si>
    <t xml:space="preserve">Rows with relation / name / mobile / e-mail / primary radio</t>
  </si>
  <si>
    <t xml:space="preserve">ADM-13</t>
  </si>
  <si>
    <t xml:space="preserve">Try to add a 6th guardian</t>
  </si>
  <si>
    <t xml:space="preserve">Add guardian disabled at 5</t>
  </si>
  <si>
    <t xml:space="preserve">ADM-14</t>
  </si>
  <si>
    <t xml:space="preserve">Add two fathers, Save</t>
  </si>
  <si>
    <t xml:space="preserve">Message 'only one father and one mother'</t>
  </si>
  <si>
    <t xml:space="preserve">ADM-15</t>
  </si>
  <si>
    <t xml:space="preserve">Choose Mother as primary</t>
  </si>
  <si>
    <t xml:space="preserve">Only one primary at a time</t>
  </si>
  <si>
    <t xml:space="preserve">ADM-16</t>
  </si>
  <si>
    <t xml:space="preserve">Remove a guardian row</t>
  </si>
  <si>
    <t xml:space="preserve">Row disappears</t>
  </si>
  <si>
    <t xml:space="preserve">ADM-17</t>
  </si>
  <si>
    <t xml:space="preserve">Enter a date of birth in the future</t>
  </si>
  <si>
    <t xml:space="preserve">Error</t>
  </si>
  <si>
    <t xml:space="preserve">ADM-18</t>
  </si>
  <si>
    <t xml:space="preserve">Register with no guardians</t>
  </si>
  <si>
    <t xml:space="preserve">Allowed</t>
  </si>
  <si>
    <t xml:space="preserve">ADM-19</t>
  </si>
  <si>
    <t xml:space="preserve">In Documents choose the Document type FIRST, then add a file; Save</t>
  </si>
  <si>
    <t xml:space="preserve">The file picker stays disabled until a type is chosen; each file gets that type (changeable per file); application saved together with the document(s)</t>
  </si>
  <si>
    <t xml:space="preserve">Reworded Oct 16</t>
  </si>
  <si>
    <t xml:space="preserve">ADM-20</t>
  </si>
  <si>
    <t xml:space="preserve">Registered application</t>
  </si>
  <si>
    <t xml:space="preserve">Edit phone and replace guardians; Save; reopen</t>
  </si>
  <si>
    <t xml:space="preserve">New values shown</t>
  </si>
  <si>
    <t xml:space="preserve">ADM-21</t>
  </si>
  <si>
    <t xml:space="preserve">Confirm</t>
  </si>
  <si>
    <t xml:space="preserve">Confirm Admission: fee 500, payment reference, blood group, religion, category, notes</t>
  </si>
  <si>
    <t xml:space="preserve">Fee amount and Payment reference both show a red star; moves to Admitted; fee visible in details</t>
  </si>
  <si>
    <t xml:space="preserve">ADM-22</t>
  </si>
  <si>
    <t xml:space="preserve">Negative fee</t>
  </si>
  <si>
    <t xml:space="preserve">ADM-23</t>
  </si>
  <si>
    <t xml:space="preserve">Religion and Category fields</t>
  </si>
  <si>
    <t xml:space="preserve">Fixed lists, no free text</t>
  </si>
  <si>
    <t xml:space="preserve">ADM-24</t>
  </si>
  <si>
    <t xml:space="preserve">Reject</t>
  </si>
  <si>
    <t xml:space="preserve">Reject an application</t>
  </si>
  <si>
    <t xml:space="preserve">Modal asks for a reason; empty reason blocked; saved reason shown via View Rejection Reason</t>
  </si>
  <si>
    <t xml:space="preserve">ADM-25</t>
  </si>
  <si>
    <t xml:space="preserve">Enrolled application</t>
  </si>
  <si>
    <t xml:space="preserve">Look for Reject</t>
  </si>
  <si>
    <t xml:space="preserve">Action not offered</t>
  </si>
  <si>
    <t xml:space="preserve">ADM-26</t>
  </si>
  <si>
    <t xml:space="preserve">Delete an application</t>
  </si>
  <si>
    <t xml:space="preserve">Confirm, disappears</t>
  </si>
  <si>
    <t xml:space="preserve">ADM-G01</t>
  </si>
  <si>
    <t xml:space="preserve">Existing parent (G2)</t>
  </si>
  <si>
    <t xml:space="preserve">Parent 'ZT Father' exists with a linked child</t>
  </si>
  <si>
    <t xml:space="preserve">In New Registration add a guardian and use 'Pick an existing parent'; type 2+ letters of the name</t>
  </si>
  <si>
    <t xml:space="preserve">Results show name, mobile and the child names already linked to that parent</t>
  </si>
  <si>
    <t xml:space="preserve">ADM-G02</t>
  </si>
  <si>
    <t xml:space="preserve">Search by mobile number (3+ digits)</t>
  </si>
  <si>
    <t xml:space="preserve">Matching parent(s) listed; maximum 10 results</t>
  </si>
  <si>
    <t xml:space="preserve">ADM-G03</t>
  </si>
  <si>
    <t xml:space="preserve">Type only 1 character</t>
  </si>
  <si>
    <t xml:space="preserve">No search runs / hint to type more</t>
  </si>
  <si>
    <t xml:space="preserve">ADM-G04</t>
  </si>
  <si>
    <t xml:space="preserve">Select a parent; look at the guardian row; Save</t>
  </si>
  <si>
    <t xml:space="preserve">Guardian row shows the parent's name, mobile and e-mail (read-only); saved; reopening shows the same link</t>
  </si>
  <si>
    <t xml:space="preserve">ADM-G05</t>
  </si>
  <si>
    <t xml:space="preserve">Guardian linked to a parent</t>
  </si>
  <si>
    <t xml:space="preserve">Change the typed name/mobile in the form, if the fields are editable, and Save</t>
  </si>
  <si>
    <t xml:space="preserve">The saved guardian still has the PARENT's name/mobile/e-mail (server copies from the parent record)</t>
  </si>
  <si>
    <t xml:space="preserve">ADM-G06</t>
  </si>
  <si>
    <t xml:space="preserve">Linked guardian</t>
  </si>
  <si>
    <t xml:space="preserve">Choose 'Use a different person' and type the details by hand</t>
  </si>
  <si>
    <t xml:space="preserve">Link removed; typed details saved</t>
  </si>
  <si>
    <t xml:space="preserve">ADM-G07</t>
  </si>
  <si>
    <t xml:space="preserve">Pick the same parent for both Father and Mother</t>
  </si>
  <si>
    <t xml:space="preserve">Refused with a clear message (a parent cannot be two guardians); nothing saved</t>
  </si>
  <si>
    <t xml:space="preserve">ADM-G08</t>
  </si>
  <si>
    <t xml:space="preserve">Mobile typed by hand matches an existing parent</t>
  </si>
  <si>
    <t xml:space="preserve">Type a mobile that belongs to an existing parent in a guardian row</t>
  </si>
  <si>
    <t xml:space="preserve">A hint offers the matching parent (shown only to users with Parents.View)</t>
  </si>
  <si>
    <t xml:space="preserve">ADM-G09</t>
  </si>
  <si>
    <t xml:space="preserve">Clerk without Parents.View</t>
  </si>
  <si>
    <t xml:space="preserve">Role without Parents.View but with Admissions.Create</t>
  </si>
  <si>
    <t xml:space="preserve">Open New Registration</t>
  </si>
  <si>
    <t xml:space="preserve">No parent search, no mobile hint and no children are shown; typing guardians by hand still works</t>
  </si>
  <si>
    <t xml:space="preserve">ADM-G10</t>
  </si>
  <si>
    <t xml:space="preserve">Application already linked to a parent by an Admin</t>
  </si>
  <si>
    <t xml:space="preserve">Edit the application remarks and Save</t>
  </si>
  <si>
    <t xml:space="preserve">Saved without error; link kept</t>
  </si>
  <si>
    <t xml:space="preserve">ADM-G11</t>
  </si>
  <si>
    <t xml:space="preserve">Role without Admissions.Create/Edit</t>
  </si>
  <si>
    <t xml:space="preserve">Role has Parents.View only</t>
  </si>
  <si>
    <t xml:space="preserve">Call the search (or open the screen)</t>
  </si>
  <si>
    <t xml:space="preserve">Refused (403); no parent data returned</t>
  </si>
  <si>
    <t xml:space="preserve">ADM-G12</t>
  </si>
  <si>
    <t xml:space="preserve">Admitted application whose Father is linked to ZT Father</t>
  </si>
  <si>
    <t xml:space="preserve">Click Enroll to Class</t>
  </si>
  <si>
    <t xml:space="preserve">Guardian pre-selected as 'Use existing: ZT Father' even if the typed mobile differs</t>
  </si>
  <si>
    <t xml:space="preserve">ADM-G13</t>
  </si>
  <si>
    <t xml:space="preserve">Enrol with the pre-selected parent</t>
  </si>
  <si>
    <t xml:space="preserve">Student created and linked to that parent; no duplicate parent created (check Parents list)</t>
  </si>
  <si>
    <t xml:space="preserve">ADM-G14</t>
  </si>
  <si>
    <t xml:space="preserve">Same as ADM-G12</t>
  </si>
  <si>
    <t xml:space="preserve">In the enrol dialog choose a DIFFERENT parent (or Create new) and enrol</t>
  </si>
  <si>
    <t xml:space="preserve">Enrolment succeeds with the chosen parent; ask a developer / check audit log: the change is recorded with old parent, new parent, user and time</t>
  </si>
  <si>
    <t xml:space="preserve">ADM-G15</t>
  </si>
  <si>
    <t xml:space="preserve">Linked parent was deleted after registration</t>
  </si>
  <si>
    <t xml:space="preserve">Enrol is refused with a clear message to open the application and choose 'Use a different person'; no student and no new parent created</t>
  </si>
  <si>
    <t xml:space="preserve">ADM-G16</t>
  </si>
  <si>
    <t xml:space="preserve">Two guardians linked to two different parents</t>
  </si>
  <si>
    <t xml:space="preserve">In enrol, swap the two parents between the guardians</t>
  </si>
  <si>
    <t xml:space="preserve">Succeeds; each guardian ends up with the chosen parent</t>
  </si>
  <si>
    <t xml:space="preserve">ADM-G17</t>
  </si>
  <si>
    <t xml:space="preserve">Guardian mobile equals a parent linked to ANOTHER guardian</t>
  </si>
  <si>
    <t xml:space="preserve">Open enrol</t>
  </si>
  <si>
    <t xml:space="preserve">That guardian is not pre-selected; staff must choose</t>
  </si>
  <si>
    <t xml:space="preserve">ADM-30</t>
  </si>
  <si>
    <t xml:space="preserve">Enrol</t>
  </si>
  <si>
    <t xml:space="preserve">Admitted application, Father+Mother whose mobiles match existing parents</t>
  </si>
  <si>
    <t xml:space="preserve">Modal loads guardian matches; each pre-selected 'Use existing: &lt;parent&gt;'</t>
  </si>
  <si>
    <t xml:space="preserve">ADM-31</t>
  </si>
  <si>
    <t xml:space="preserve">Guardian mobile matches nobody</t>
  </si>
  <si>
    <t xml:space="preserve">Pre-selected 'Create new parent'</t>
  </si>
  <si>
    <t xml:space="preserve">ADM-32</t>
  </si>
  <si>
    <t xml:space="preserve">Two parents share the mobile</t>
  </si>
  <si>
    <t xml:space="preserve">No pre-selection; staff must choose (or search another parent)</t>
  </si>
  <si>
    <t xml:space="preserve">ADM-33</t>
  </si>
  <si>
    <t xml:space="preserve">Guardian without mobile</t>
  </si>
  <si>
    <t xml:space="preserve">Enrol button blocked with a message</t>
  </si>
  <si>
    <t xml:space="preserve">ADM-34</t>
  </si>
  <si>
    <t xml:space="preserve">Choose the same existing parent for two guardians</t>
  </si>
  <si>
    <t xml:space="preserve">Blocked with message</t>
  </si>
  <si>
    <t xml:space="preserve">ADM-35</t>
  </si>
  <si>
    <t xml:space="preserve">Use 'Search another parent...' and select one</t>
  </si>
  <si>
    <t xml:space="preserve">Search lists all parents; selecting sets the decision</t>
  </si>
  <si>
    <t xml:space="preserve">ADM-36</t>
  </si>
  <si>
    <t xml:space="preserve">Leave roll number and admission number BLANK; set date and class (Active classes only)</t>
  </si>
  <si>
    <t xml:space="preserve">Accepted; the student gets a roll number like 5A001 and an admission number like ADM-2026-0001</t>
  </si>
  <si>
    <t xml:space="preserve">ADM-37</t>
  </si>
  <si>
    <t xml:space="preserve">Roll number typed by hand that is already used in that class</t>
  </si>
  <si>
    <t xml:space="preserve">Type that roll number and submit</t>
  </si>
  <si>
    <t xml:space="preserve">Error 'already taken'</t>
  </si>
  <si>
    <t xml:space="preserve">ADM-38</t>
  </si>
  <si>
    <t xml:space="preserve">Class at capacity</t>
  </si>
  <si>
    <t xml:space="preserve">Submit</t>
  </si>
  <si>
    <t xml:space="preserve">Error 'is full (n/n)'</t>
  </si>
  <si>
    <t xml:space="preserve">ADM-39</t>
  </si>
  <si>
    <t xml:space="preserve">Submit a valid enrolment</t>
  </si>
  <si>
    <t xml:space="preserve">Application becomes Enrolled; student appears in Students; new parents appear if Create new was chosen</t>
  </si>
  <si>
    <t xml:space="preserve">ADM-40</t>
  </si>
  <si>
    <t xml:space="preserve">Stop the API / cut network, then submit</t>
  </si>
  <si>
    <t xml:space="preserve">Error shown; NO partial student or parent created</t>
  </si>
  <si>
    <t xml:space="preserve">ADM-41</t>
  </si>
  <si>
    <t xml:space="preserve">Double-click the Enrol button</t>
  </si>
  <si>
    <t xml:space="preserve">Only one student created</t>
  </si>
  <si>
    <t xml:space="preserve">STU-01</t>
  </si>
  <si>
    <t xml:space="preserve">Open Students</t>
  </si>
  <si>
    <t xml:space="preserve">Tabs All, Active, Inactive, Left with counts</t>
  </si>
  <si>
    <t xml:space="preserve">STU-02</t>
  </si>
  <si>
    <t xml:space="preserve">Filters: Class, Gender, Curriculum, House, has allergies</t>
  </si>
  <si>
    <t xml:space="preserve">Work and combine; allergy filter uses health data (no English-level filter any more)</t>
  </si>
  <si>
    <t xml:space="preserve">STU-03</t>
  </si>
  <si>
    <t xml:space="preserve">Search (header + quick search)</t>
  </si>
  <si>
    <t xml:space="preserve">Filters by name / admission number</t>
  </si>
  <si>
    <t xml:space="preserve">STU-04</t>
  </si>
  <si>
    <t xml:space="preserve">Hover the row actions</t>
  </si>
  <si>
    <t xml:space="preserve">View, Fee Summary, Attendance Report, Report Card, Linked Parents, Academic History, Edit, Mark as left (no Delete)</t>
  </si>
  <si>
    <t xml:space="preserve">STU-05</t>
  </si>
  <si>
    <t xml:space="preserve">Click Fee Summary / Attendance Report / Report Card</t>
  </si>
  <si>
    <t xml:space="preserve">'Not yet available' modal naming the missing module</t>
  </si>
  <si>
    <t xml:space="preserve">STU-06</t>
  </si>
  <si>
    <t xml:space="preserve">Correct columns</t>
  </si>
  <si>
    <t xml:space="preserve">STU-07</t>
  </si>
  <si>
    <t xml:space="preserve">A Left student</t>
  </si>
  <si>
    <t xml:space="preserve">Check tabs</t>
  </si>
  <si>
    <t xml:space="preserve">Left students shown under All and Left only, with a purple badge</t>
  </si>
  <si>
    <t xml:space="preserve">STU-10</t>
  </si>
  <si>
    <t xml:space="preserve">Student enrolled via admission</t>
  </si>
  <si>
    <t xml:space="preserve">Open View</t>
  </si>
  <si>
    <t xml:space="preserve">Sections Basics, Academic, Health, Parents etc. filled; blood group from health</t>
  </si>
  <si>
    <t xml:space="preserve">STU-11</t>
  </si>
  <si>
    <t xml:space="preserve">Open Edit</t>
  </si>
  <si>
    <t xml:space="preserve">All sections load (health, pickup persons, identity)</t>
  </si>
  <si>
    <t xml:space="preserve">STU-12</t>
  </si>
  <si>
    <t xml:space="preserve">Change personal data and Save</t>
  </si>
  <si>
    <t xml:space="preserve">Reflected in list and view</t>
  </si>
  <si>
    <t xml:space="preserve">STU-13</t>
  </si>
  <si>
    <t xml:space="preserve">Look at the Parents/Guardians section in the modal</t>
  </si>
  <si>
    <t xml:space="preserve">Read-only, with hint to manage links from Parents</t>
  </si>
  <si>
    <t xml:space="preserve">STU-14</t>
  </si>
  <si>
    <t xml:space="preserve">Add two pickup persons (name, relation, phone, ID note)</t>
  </si>
  <si>
    <t xml:space="preserve">Saved; shown on reopen</t>
  </si>
  <si>
    <t xml:space="preserve">STU-15</t>
  </si>
  <si>
    <t xml:space="preserve">Invalid phone on a pickup person</t>
  </si>
  <si>
    <t xml:space="preserve">STU-16</t>
  </si>
  <si>
    <t xml:space="preserve">Remove all pickup persons and save</t>
  </si>
  <si>
    <t xml:space="preserve">Gone on reopen</t>
  </si>
  <si>
    <t xml:space="preserve">STU-17</t>
  </si>
  <si>
    <t xml:space="preserve">Fill health (blood group, allergies, notes)</t>
  </si>
  <si>
    <t xml:space="preserve">Saved; allergy chip/filter works</t>
  </si>
  <si>
    <t xml:space="preserve">STU-18</t>
  </si>
  <si>
    <t xml:space="preserve">Identity</t>
  </si>
  <si>
    <t xml:space="preserve">Open Identity Documents as Admin</t>
  </si>
  <si>
    <t xml:space="preserve">Editable; full values on reopen</t>
  </si>
  <si>
    <t xml:space="preserve">STU-19</t>
  </si>
  <si>
    <t xml:space="preserve">Open the same student as Clerk</t>
  </si>
  <si>
    <t xml:space="preserve">Values masked (e.g. ********9012); fields NOT editable</t>
  </si>
  <si>
    <t xml:space="preserve">STU-20</t>
  </si>
  <si>
    <t xml:space="preserve">Aadhaar not 12 digits</t>
  </si>
  <si>
    <t xml:space="preserve">Message</t>
  </si>
  <si>
    <t xml:space="preserve">STU-21</t>
  </si>
  <si>
    <t xml:space="preserve">Aadhaar used by another student</t>
  </si>
  <si>
    <t xml:space="preserve">Save the same Aadhaar on a second student</t>
  </si>
  <si>
    <t xml:space="preserve">Error 'already recorded for another student'</t>
  </si>
  <si>
    <t xml:space="preserve">STU-22</t>
  </si>
  <si>
    <t xml:space="preserve">Create (via enrolment)</t>
  </si>
  <si>
    <t xml:space="preserve">An application in status Admitted; a class with free seats</t>
  </si>
  <si>
    <t xml:space="preserve">Open the application, choose Enrol; leave roll and admission number blank; choose class and date; add the guardians; confirm</t>
  </si>
  <si>
    <t xml:space="preserve">Student created as Active; roll number (class + section + 3 digits) and admission number (ADM-year-serial) generated; application becomes Enrolled; History tab shows one Active period; parents linked</t>
  </si>
  <si>
    <t xml:space="preserve">Reworded: there is no Add Student screen; students are created only by enrolling an admission.; Reworded Oct 16</t>
  </si>
  <si>
    <t xml:space="preserve">STU-23</t>
  </si>
  <si>
    <t xml:space="preserve">An existing student; a second Admitted application</t>
  </si>
  <si>
    <t xml:space="preserve">Enrol the application using (a) the existing admission number, then (b) a new admission number but a roll number already used in the same class</t>
  </si>
  <si>
    <t xml:space="preserve">(a) Error: admission number is already used by another student. (b) Error: roll number is already taken in that class. No student is created and the application stays Admitted.</t>
  </si>
  <si>
    <t xml:space="preserve">Reworded: duplicate checks are tested through Enrol.</t>
  </si>
  <si>
    <t xml:space="preserve">STU-24</t>
  </si>
  <si>
    <t xml:space="preserve">Open the status options</t>
  </si>
  <si>
    <t xml:space="preserve">Only Active / Inactive / Left</t>
  </si>
  <si>
    <t xml:space="preserve">STU-25</t>
  </si>
  <si>
    <t xml:space="preserve">Class move</t>
  </si>
  <si>
    <t xml:space="preserve">Two classes, same academic year</t>
  </si>
  <si>
    <t xml:space="preserve">Change class in Edit, Save</t>
  </si>
  <si>
    <t xml:space="preserve">List shows new class; History shows Transferred + Active rows</t>
  </si>
  <si>
    <t xml:space="preserve">STU-26</t>
  </si>
  <si>
    <t xml:space="preserve">Move to an inactive or full class</t>
  </si>
  <si>
    <t xml:space="preserve">Error modal</t>
  </si>
  <si>
    <t xml:space="preserve">STU-27</t>
  </si>
  <si>
    <t xml:space="preserve">Class of another academic year</t>
  </si>
  <si>
    <t xml:space="preserve">Pick it and save</t>
  </si>
  <si>
    <t xml:space="preserve">Error about year-end promotion</t>
  </si>
  <si>
    <t xml:space="preserve">STU-28</t>
  </si>
  <si>
    <t xml:space="preserve">Set Left and change class in the same edit</t>
  </si>
  <si>
    <t xml:space="preserve">Error 'cannot be moved ... and marked as Left in the same edit'</t>
  </si>
  <si>
    <t xml:space="preserve">STU-29</t>
  </si>
  <si>
    <t xml:space="preserve">Set status Left</t>
  </si>
  <si>
    <t xml:space="preserve">Row moves to Left; History shows a closing 'Left' row</t>
  </si>
  <si>
    <t xml:space="preserve">STU-30</t>
  </si>
  <si>
    <t xml:space="preserve">Set back to Active</t>
  </si>
  <si>
    <t xml:space="preserve">New Active row in History</t>
  </si>
  <si>
    <t xml:space="preserve">STU-31</t>
  </si>
  <si>
    <t xml:space="preserve">Left</t>
  </si>
  <si>
    <t xml:space="preserve">Look for a Delete button on the Students list and on a student's page</t>
  </si>
  <si>
    <t xml:space="preserve">There is none: a student who has gone is closed with Mark as left (see STU-49)</t>
  </si>
  <si>
    <t xml:space="preserve">STU-40</t>
  </si>
  <si>
    <t xml:space="preserve">History</t>
  </si>
  <si>
    <t xml:space="preserve">Open Academic History for a normal student</t>
  </si>
  <si>
    <t xml:space="preserve">One row: year, class, roll, from date, dash, Active badge</t>
  </si>
  <si>
    <t xml:space="preserve">STU-41</t>
  </si>
  <si>
    <t xml:space="preserve">After a class change</t>
  </si>
  <si>
    <t xml:space="preserve">Open Academic History</t>
  </si>
  <si>
    <t xml:space="preserve">Two rows, newest first; old row has end date, Transferred and remark 'Moved to ...'</t>
  </si>
  <si>
    <t xml:space="preserve">STU-42</t>
  </si>
  <si>
    <t xml:space="preserve">Look for edit controls in the history</t>
  </si>
  <si>
    <t xml:space="preserve">Read-only</t>
  </si>
  <si>
    <t xml:space="preserve">STU-43</t>
  </si>
  <si>
    <t xml:space="preserve">Open history with API stopped</t>
  </si>
  <si>
    <t xml:space="preserve">'Loading...' then 'Could not load the history.'</t>
  </si>
  <si>
    <t xml:space="preserve">STU-44</t>
  </si>
  <si>
    <t xml:space="preserve">Linked parents</t>
  </si>
  <si>
    <t xml:space="preserve">Open Linked Parents</t>
  </si>
  <si>
    <t xml:space="preserve">Parents with relation, primary star, mobile/e-mail; empty state when none</t>
  </si>
  <si>
    <t xml:space="preserve">STU-45</t>
  </si>
  <si>
    <t xml:space="preserve">Student detail</t>
  </si>
  <si>
    <t xml:space="preserve">Open a student's detail page</t>
  </si>
  <si>
    <t xml:space="preserve">Tabs (basics, history, health, documents, ...) load; Safeguarding/Documents only for office staff with the permission</t>
  </si>
  <si>
    <t xml:space="preserve">STU-46</t>
  </si>
  <si>
    <t xml:space="preserve">Open Students as the teacher</t>
  </si>
  <si>
    <t xml:space="preserve">Only students of the teacher's classes are listed; others cannot be opened by URL</t>
  </si>
  <si>
    <t xml:space="preserve">ATT-01</t>
  </si>
  <si>
    <t xml:space="preserve">Open</t>
  </si>
  <si>
    <t xml:space="preserve">Open Attendance</t>
  </si>
  <si>
    <t xml:space="preserve">Tabs Daily / Subject; Class, Date (today) and Search present</t>
  </si>
  <si>
    <t xml:space="preserve">ATT-02</t>
  </si>
  <si>
    <t xml:space="preserve">Roster</t>
  </si>
  <si>
    <t xml:space="preserve">Pick a class</t>
  </si>
  <si>
    <t xml:space="preserve">Roster of Active students: roll no., name, admission no., 5 status buttons, remarks, last-7 dots</t>
  </si>
  <si>
    <t xml:space="preserve">ATT-03</t>
  </si>
  <si>
    <t xml:space="preserve">Subject tab</t>
  </si>
  <si>
    <t xml:space="preserve">Class with no subjects</t>
  </si>
  <si>
    <t xml:space="preserve">Open Subject tab</t>
  </si>
  <si>
    <t xml:space="preserve">Message 'No active subjects'</t>
  </si>
  <si>
    <t xml:space="preserve">ATT-04</t>
  </si>
  <si>
    <t xml:space="preserve">Subject tab without choosing a subject</t>
  </si>
  <si>
    <t xml:space="preserve">Roster not loaded / prompt to choose</t>
  </si>
  <si>
    <t xml:space="preserve">ATT-05</t>
  </si>
  <si>
    <t xml:space="preserve">Marking</t>
  </si>
  <si>
    <t xml:space="preserve">Mark All Present</t>
  </si>
  <si>
    <t xml:space="preserve">Everyone Present; counters update</t>
  </si>
  <si>
    <t xml:space="preserve">ATT-06</t>
  </si>
  <si>
    <t xml:space="preserve">Mark All Absent</t>
  </si>
  <si>
    <t xml:space="preserve">Everyone Absent</t>
  </si>
  <si>
    <t xml:space="preserve">ATT-07</t>
  </si>
  <si>
    <t xml:space="preserve">Change individual statuses and add remarks</t>
  </si>
  <si>
    <t xml:space="preserve">Counters (Present/Absent/Late/Half Day/Leave) update live</t>
  </si>
  <si>
    <t xml:space="preserve">ATT-08</t>
  </si>
  <si>
    <t xml:space="preserve">Save</t>
  </si>
  <si>
    <t xml:space="preserve">Save with a student unmarked</t>
  </si>
  <si>
    <t xml:space="preserve">Error 'N student(s) have no status yet' (or Save disabled until complete; record which)</t>
  </si>
  <si>
    <t xml:space="preserve">ATT-09</t>
  </si>
  <si>
    <t xml:space="preserve">Banner 'Saved by &lt;user&gt; - &lt;time&gt;'; Save disabled until something changes</t>
  </si>
  <si>
    <t xml:space="preserve">ATT-10</t>
  </si>
  <si>
    <t xml:space="preserve">Saved earlier</t>
  </si>
  <si>
    <t xml:space="preserve">Reload and re-select class and date</t>
  </si>
  <si>
    <t xml:space="preserve">Saved statuses come back</t>
  </si>
  <si>
    <t xml:space="preserve">ATT-11</t>
  </si>
  <si>
    <t xml:space="preserve">Change a status and save again</t>
  </si>
  <si>
    <t xml:space="preserve">Same session updated; banner time changes</t>
  </si>
  <si>
    <t xml:space="preserve">ATT-12</t>
  </si>
  <si>
    <t xml:space="preserve">Copy</t>
  </si>
  <si>
    <t xml:space="preserve">Previous day saved</t>
  </si>
  <si>
    <t xml:space="preserve">Click Copy from previous day</t>
  </si>
  <si>
    <t xml:space="preserve">Statuses copied from the previous session date; button disabled when none exists</t>
  </si>
  <si>
    <t xml:space="preserve">ATT-13</t>
  </si>
  <si>
    <t xml:space="preserve">Search students by name / admission / roll</t>
  </si>
  <si>
    <t xml:space="preserve">Visible rows filter; hidden rows keep their status and are still saved</t>
  </si>
  <si>
    <t xml:space="preserve">ATT-14</t>
  </si>
  <si>
    <t xml:space="preserve">Unsaved changes</t>
  </si>
  <si>
    <t xml:space="preserve">Change class / date / tab</t>
  </si>
  <si>
    <t xml:space="preserve">Confirm 'Discard unsaved changes?'</t>
  </si>
  <si>
    <t xml:space="preserve">ATT-15</t>
  </si>
  <si>
    <t xml:space="preserve">Close or refresh the browser tab</t>
  </si>
  <si>
    <t xml:space="preserve">Browser 'leave site?' warning</t>
  </si>
  <si>
    <t xml:space="preserve">ATT-16</t>
  </si>
  <si>
    <t xml:space="preserve">Rules</t>
  </si>
  <si>
    <t xml:space="preserve">Select a future date</t>
  </si>
  <si>
    <t xml:space="preserve">Banner 'cannot be marked for a future date'; buttons disabled</t>
  </si>
  <si>
    <t xml:space="preserve">ATT-17</t>
  </si>
  <si>
    <t xml:space="preserve">Date 2 or more days ago (older than yesterday)</t>
  </si>
  <si>
    <t xml:space="preserve">Open that date as Clerk or Teacher, then as Admin</t>
  </si>
  <si>
    <t xml:space="preserve">Non-admin: locked ('Only an Admin can change attendance older than 1 day'); Admin can edit</t>
  </si>
  <si>
    <t xml:space="preserve">ATT-18</t>
  </si>
  <si>
    <t xml:space="preserve">zt.teacher1 is class teacher of Class A</t>
  </si>
  <si>
    <t xml:space="preserve">Log in as the teacher, class A, Daily</t>
  </si>
  <si>
    <t xml:space="preserve">Editable</t>
  </si>
  <si>
    <t xml:space="preserve">ATT-19</t>
  </si>
  <si>
    <t xml:space="preserve">Teacher opens a class they are NOT class teacher of</t>
  </si>
  <si>
    <t xml:space="preserve">Locked banner; read-only</t>
  </si>
  <si>
    <t xml:space="preserve">ATT-20</t>
  </si>
  <si>
    <t xml:space="preserve">Teacher opens Subject tab for a subject they do not teach</t>
  </si>
  <si>
    <t xml:space="preserve">Locked banner</t>
  </si>
  <si>
    <t xml:space="preserve">ATT-21</t>
  </si>
  <si>
    <t xml:space="preserve">Student moved out of class after the date</t>
  </si>
  <si>
    <t xml:space="preserve">View the old date and a new date</t>
  </si>
  <si>
    <t xml:space="preserve">Student still shown for the old date; absent for new dates</t>
  </si>
  <si>
    <t xml:space="preserve">ATT-22</t>
  </si>
  <si>
    <t xml:space="preserve">Left student recorded earlier</t>
  </si>
  <si>
    <t xml:space="preserve">View an old date</t>
  </si>
  <si>
    <t xml:space="preserve">Marked as not active in class (greyed) on old dates</t>
  </si>
  <si>
    <t xml:space="preserve">ATT-23</t>
  </si>
  <si>
    <t xml:space="preserve">Sessions</t>
  </si>
  <si>
    <t xml:space="preserve">Mark Daily and Subject attendance for the same day</t>
  </si>
  <si>
    <t xml:space="preserve">Independent sessions</t>
  </si>
  <si>
    <t xml:space="preserve">ATT-24</t>
  </si>
  <si>
    <t xml:space="preserve">Performance</t>
  </si>
  <si>
    <t xml:space="preserve">Class of 40+ students</t>
  </si>
  <si>
    <t xml:space="preserve">Mark and save</t>
  </si>
  <si>
    <t xml:space="preserve">Scrolls smoothly; save under 2 seconds</t>
  </si>
  <si>
    <t xml:space="preserve">ATT-25</t>
  </si>
  <si>
    <t xml:space="preserve">Date rule</t>
  </si>
  <si>
    <t xml:space="preserve">Test between 00:00 and 04:00 Abu Dhabi time</t>
  </si>
  <si>
    <t xml:space="preserve">Open Attendance and look at 'today'</t>
  </si>
  <si>
    <t xml:space="preserve">KNOWN LIMITATION in this build: 'today' follows UTC, so it can still show yesterday during those hours (fixed in the next change F2). Record what you see</t>
  </si>
  <si>
    <t xml:space="preserve">DOC-01</t>
  </si>
  <si>
    <t xml:space="preserve">Documents page</t>
  </si>
  <si>
    <t xml:space="preserve">Documents exist</t>
  </si>
  <si>
    <t xml:space="preserve">Open Documents</t>
  </si>
  <si>
    <t xml:space="preserve">List loads; filters work (type, status, expiry state Expired / Expiring soon, owner)</t>
  </si>
  <si>
    <t xml:space="preserve">DOC-02</t>
  </si>
  <si>
    <t xml:space="preserve">Upload</t>
  </si>
  <si>
    <t xml:space="preserve">A student exists</t>
  </si>
  <si>
    <t xml:space="preserve">On the student's Documents tab upload a PDF of type 'Transfer certificate'</t>
  </si>
  <si>
    <t xml:space="preserve">Uploaded; status Pending; shows file name, size, type, uploader</t>
  </si>
  <si>
    <t xml:space="preserve">DOC-03</t>
  </si>
  <si>
    <t xml:space="preserve">Upload a JPG and a PNG</t>
  </si>
  <si>
    <t xml:space="preserve">Both accepted</t>
  </si>
  <si>
    <t xml:space="preserve">DOC-04</t>
  </si>
  <si>
    <t xml:space="preserve">A small .exe or .txt file renamed to .pdf</t>
  </si>
  <si>
    <t xml:space="preserve">Upload it</t>
  </si>
  <si>
    <t xml:space="preserve">Refused: the file CONTENT is checked, not the name</t>
  </si>
  <si>
    <t xml:space="preserve">DOC-05</t>
  </si>
  <si>
    <t xml:space="preserve">A real PNG named scan.pdf</t>
  </si>
  <si>
    <t xml:space="preserve">Accepted as a PNG; downloads as scan.png</t>
  </si>
  <si>
    <t xml:space="preserve">DOC-06</t>
  </si>
  <si>
    <t xml:space="preserve">A file over 5 MB</t>
  </si>
  <si>
    <t xml:space="preserve">Refused with a message showing the file size and the limit</t>
  </si>
  <si>
    <t xml:space="preserve">DOC-07</t>
  </si>
  <si>
    <t xml:space="preserve">Upload type Passport / Residence visa / Emirates ID without an expiry date</t>
  </si>
  <si>
    <t xml:space="preserve">Expiry date required message</t>
  </si>
  <si>
    <t xml:space="preserve">DOC-08</t>
  </si>
  <si>
    <t xml:space="preserve">Upload type Birth certificate (no expiry)</t>
  </si>
  <si>
    <t xml:space="preserve">No expiry field required</t>
  </si>
  <si>
    <t xml:space="preserve">DOC-09</t>
  </si>
  <si>
    <t xml:space="preserve">Upload the exact same file to the same student again</t>
  </si>
  <si>
    <t xml:space="preserve">Refused (duplicate)</t>
  </si>
  <si>
    <t xml:space="preserve">DOC-10</t>
  </si>
  <si>
    <t xml:space="preserve">Upload several files at once</t>
  </si>
  <si>
    <t xml:space="preserve">Per-file result shown (success / reason for each)</t>
  </si>
  <si>
    <t xml:space="preserve">DOC-11</t>
  </si>
  <si>
    <t xml:space="preserve">Review</t>
  </si>
  <si>
    <t xml:space="preserve">Admin (reviewer)</t>
  </si>
  <si>
    <t xml:space="preserve">Document uploaded by ANOTHER user</t>
  </si>
  <si>
    <t xml:space="preserve">Verify the document</t>
  </si>
  <si>
    <t xml:space="preserve">Status Verified; reviewer and time shown</t>
  </si>
  <si>
    <t xml:space="preserve">DOC-12</t>
  </si>
  <si>
    <t xml:space="preserve">Reject a document</t>
  </si>
  <si>
    <t xml:space="preserve">Reason required; status Rejected; reason visible</t>
  </si>
  <si>
    <t xml:space="preserve">DOC-13</t>
  </si>
  <si>
    <t xml:space="preserve">Document uploaded by yourself</t>
  </si>
  <si>
    <t xml:space="preserve">Try to verify or reject your own upload</t>
  </si>
  <si>
    <t xml:space="preserve">Refused (nobody reviews their own upload)</t>
  </si>
  <si>
    <t xml:space="preserve">DOC-14</t>
  </si>
  <si>
    <t xml:space="preserve">Verified document</t>
  </si>
  <si>
    <t xml:space="preserve">Unverify</t>
  </si>
  <si>
    <t xml:space="preserve">Back to Pending</t>
  </si>
  <si>
    <t xml:space="preserve">DOC-15</t>
  </si>
  <si>
    <t xml:space="preserve">Rejected document</t>
  </si>
  <si>
    <t xml:space="preserve">Look for a way to reopen it</t>
  </si>
  <si>
    <t xml:space="preserve">Not reopened; upload a new document instead</t>
  </si>
  <si>
    <t xml:space="preserve">DOC-16</t>
  </si>
  <si>
    <t xml:space="preserve">Delete it</t>
  </si>
  <si>
    <t xml:space="preserve">Refused: 'Unverify it first'</t>
  </si>
  <si>
    <t xml:space="preserve">DOC-17</t>
  </si>
  <si>
    <t xml:space="preserve">Pending document</t>
  </si>
  <si>
    <t xml:space="preserve">Confirm, removed from the list</t>
  </si>
  <si>
    <t xml:space="preserve">DOC-18</t>
  </si>
  <si>
    <t xml:space="preserve">Download</t>
  </si>
  <si>
    <t xml:space="preserve">Download a document</t>
  </si>
  <si>
    <t xml:space="preserve">File opens correctly and matches what was uploaded</t>
  </si>
  <si>
    <t xml:space="preserve">DOC-19</t>
  </si>
  <si>
    <t xml:space="preserve">User with Documents.View but not Students.ViewSensitive</t>
  </si>
  <si>
    <t xml:space="preserve">Document of a sensitive type (Passport, Emirates ID, Aadhaar, Medical record, ...)</t>
  </si>
  <si>
    <t xml:space="preserve">Try to download</t>
  </si>
  <si>
    <t xml:space="preserve">Refused (403)</t>
  </si>
  <si>
    <t xml:space="preserve">DOC-20</t>
  </si>
  <si>
    <t xml:space="preserve">Expiry</t>
  </si>
  <si>
    <t xml:space="preserve">Documents with expiry dates in the past / next 30 days</t>
  </si>
  <si>
    <t xml:space="preserve">Filter Expired and Expiring soon</t>
  </si>
  <si>
    <t xml:space="preserve">Correct documents listed in each filter</t>
  </si>
  <si>
    <t xml:space="preserve">DOC-21</t>
  </si>
  <si>
    <t xml:space="preserve">Clerk / Teacher</t>
  </si>
  <si>
    <t xml:space="preserve">Role without Documents permissions</t>
  </si>
  <si>
    <t xml:space="preserve">Open Documents or a student's Documents tab</t>
  </si>
  <si>
    <t xml:space="preserve">No documents shown / no access; API refuses (403)</t>
  </si>
  <si>
    <t xml:space="preserve">DOC-22</t>
  </si>
  <si>
    <t xml:space="preserve">Applications</t>
  </si>
  <si>
    <t xml:space="preserve">Application with documents</t>
  </si>
  <si>
    <t xml:space="preserve">Enrol the application</t>
  </si>
  <si>
    <t xml:space="preserve">Record what happens to the documents (expected: visible on the new student record)</t>
  </si>
  <si>
    <t xml:space="preserve">DOC-23</t>
  </si>
  <si>
    <t xml:space="preserve">Try to upload a document to the application</t>
  </si>
  <si>
    <t xml:space="preserve">Refused (it is already a student)</t>
  </si>
  <si>
    <t xml:space="preserve">USR-01</t>
  </si>
  <si>
    <t xml:space="preserve">Open Users &amp; Staff</t>
  </si>
  <si>
    <t xml:space="preserve">List loads with name, username, role, status, last login; filters/search work</t>
  </si>
  <si>
    <t xml:space="preserve">USR-02</t>
  </si>
  <si>
    <t xml:space="preserve">New user: username, e-mail, role (e.g. Clerk), full name, gender, mobile, joining date, temporary password</t>
  </si>
  <si>
    <t xml:space="preserve">Created; appears in list; status Active</t>
  </si>
  <si>
    <t xml:space="preserve">USR-03</t>
  </si>
  <si>
    <t xml:space="preserve">Log in as the new user with the temporary password</t>
  </si>
  <si>
    <t xml:space="preserve">Forced to change password before anything else</t>
  </si>
  <si>
    <t xml:space="preserve">USR-04</t>
  </si>
  <si>
    <t xml:space="preserve">Leave required fields empty / weak password / bad e-mail</t>
  </si>
  <si>
    <t xml:space="preserve">Clear messages; nothing created</t>
  </si>
  <si>
    <t xml:space="preserve">USR-05</t>
  </si>
  <si>
    <t xml:space="preserve">Reuse an existing username or e-mail</t>
  </si>
  <si>
    <t xml:space="preserve">USR-06</t>
  </si>
  <si>
    <t xml:space="preserve">Try to create a user with role Student or Parent</t>
  </si>
  <si>
    <t xml:space="preserve">Not offered / refused (portal logins are not built yet)</t>
  </si>
  <si>
    <t xml:space="preserve">USR-07</t>
  </si>
  <si>
    <t xml:space="preserve">Create a user with role Teacher</t>
  </si>
  <si>
    <t xml:space="preserve">Teacher also appears in the Teachers page and can be given assignments at once</t>
  </si>
  <si>
    <t xml:space="preserve">USR-08</t>
  </si>
  <si>
    <t xml:space="preserve">Edit another user's username, e-mail, profile fields</t>
  </si>
  <si>
    <t xml:space="preserve">Saved and shown on the detail page</t>
  </si>
  <si>
    <t xml:space="preserve">USR-09</t>
  </si>
  <si>
    <t xml:space="preserve">Logged-in target user</t>
  </si>
  <si>
    <t xml:space="preserve">Change a user's role; that user's next request</t>
  </si>
  <si>
    <t xml:space="preserve">New role's permissions apply on their next request (menus and access change)</t>
  </si>
  <si>
    <t xml:space="preserve">USR-10</t>
  </si>
  <si>
    <t xml:space="preserve">Change YOUR OWN role, status, or delete yourself</t>
  </si>
  <si>
    <t xml:space="preserve">Refused ('use My Account')</t>
  </si>
  <si>
    <t xml:space="preserve">USR-11</t>
  </si>
  <si>
    <t xml:space="preserve">Teacher with subject assignments</t>
  </si>
  <si>
    <t xml:space="preserve">Change that user's role away from Teacher</t>
  </si>
  <si>
    <t xml:space="preserve">Refused while assignments exist</t>
  </si>
  <si>
    <t xml:space="preserve">USR-12</t>
  </si>
  <si>
    <t xml:space="preserve">Target user logged in elsewhere</t>
  </si>
  <si>
    <t xml:space="preserve">Set status to Inactive, then Suspended</t>
  </si>
  <si>
    <t xml:space="preserve">Target is signed out; cannot log in until Active again</t>
  </si>
  <si>
    <t xml:space="preserve">USR-13</t>
  </si>
  <si>
    <t xml:space="preserve">Only one active Admin</t>
  </si>
  <si>
    <t xml:space="preserve">Try to deactivate, suspend, demote or delete the last active Admin</t>
  </si>
  <si>
    <t xml:space="preserve">Refused with a clear message</t>
  </si>
  <si>
    <t xml:space="preserve">USR-14</t>
  </si>
  <si>
    <t xml:space="preserve">Reset password</t>
  </si>
  <si>
    <t xml:space="preserve">Reset a user's password</t>
  </si>
  <si>
    <t xml:space="preserve">Temporary password shown ONCE on screen; user must change it at next login; their sessions end</t>
  </si>
  <si>
    <t xml:space="preserve">USR-15</t>
  </si>
  <si>
    <t xml:space="preserve">Unlock</t>
  </si>
  <si>
    <t xml:space="preserve">Locked account (see LOG-13)</t>
  </si>
  <si>
    <t xml:space="preserve">Click Unlock</t>
  </si>
  <si>
    <t xml:space="preserve">User can log in again</t>
  </si>
  <si>
    <t xml:space="preserve">USR-16</t>
  </si>
  <si>
    <t xml:space="preserve">Delete a user</t>
  </si>
  <si>
    <t xml:space="preserve">Confirm; removed from list; cannot log in; username/e-mail can be reused</t>
  </si>
  <si>
    <t xml:space="preserve">USR-17</t>
  </si>
  <si>
    <t xml:space="preserve">Delete that user</t>
  </si>
  <si>
    <t xml:space="preserve">Refused with counts</t>
  </si>
  <si>
    <t xml:space="preserve">USR-18</t>
  </si>
  <si>
    <t xml:space="preserve">Admin / lower role</t>
  </si>
  <si>
    <t xml:space="preserve">User whose role lacks some permissions</t>
  </si>
  <si>
    <t xml:space="preserve">Try to give a user a role that holds permissions you do not hold</t>
  </si>
  <si>
    <t xml:space="preserve">Refused</t>
  </si>
  <si>
    <t xml:space="preserve">USR-19</t>
  </si>
  <si>
    <t xml:space="preserve">Detail</t>
  </si>
  <si>
    <t xml:space="preserve">Open a user's detail page</t>
  </si>
  <si>
    <t xml:space="preserve">All sections shown; empty values as dashes</t>
  </si>
  <si>
    <t xml:space="preserve">USR-20</t>
  </si>
  <si>
    <t xml:space="preserve">Addresses</t>
  </si>
  <si>
    <t xml:space="preserve">Add / edit / remove addresses in the staff form</t>
  </si>
  <si>
    <t xml:space="preserve">Saved; primary address rule respected (one primary)</t>
  </si>
  <si>
    <t xml:space="preserve">USR-21</t>
  </si>
  <si>
    <t xml:space="preserve">Role without Users permissions</t>
  </si>
  <si>
    <t xml:space="preserve">Open Users &amp; Staff or call the page by URL</t>
  </si>
  <si>
    <t xml:space="preserve">No access / clear message; no user data shown</t>
  </si>
  <si>
    <t xml:space="preserve">USR-22</t>
  </si>
  <si>
    <t xml:space="preserve">Concurrency</t>
  </si>
  <si>
    <t xml:space="preserve">Two Admins editing the same user</t>
  </si>
  <si>
    <t xml:space="preserve">Both open the user; one saves; the other then saves</t>
  </si>
  <si>
    <t xml:space="preserve">Second save refused with a 'changed by someone else' message; no silent overwrite</t>
  </si>
  <si>
    <t xml:space="preserve">ROL-01</t>
  </si>
  <si>
    <t xml:space="preserve">Open Roles &amp; Permissions</t>
  </si>
  <si>
    <t xml:space="preserve">Roles list with status and user counts</t>
  </si>
  <si>
    <t xml:space="preserve">ROL-02</t>
  </si>
  <si>
    <t xml:space="preserve">Create a role with a name and a set of permissions using the permission picker</t>
  </si>
  <si>
    <t xml:space="preserve">Created; summary shows the chosen permissions</t>
  </si>
  <si>
    <t xml:space="preserve">ROL-03</t>
  </si>
  <si>
    <t xml:space="preserve">Picker</t>
  </si>
  <si>
    <t xml:space="preserve">Tick a whole module / group in the picker</t>
  </si>
  <si>
    <t xml:space="preserve">Tri-state checkbox: all / some / none shown correctly</t>
  </si>
  <si>
    <t xml:space="preserve">ROL-04</t>
  </si>
  <si>
    <t xml:space="preserve">Tick an 'Edit' permission without 'View'</t>
  </si>
  <si>
    <t xml:space="preserve">Dependent permissions are added or the user is told (record behaviour)</t>
  </si>
  <si>
    <t xml:space="preserve">ROL-05</t>
  </si>
  <si>
    <t xml:space="preserve">Duplicate role name</t>
  </si>
  <si>
    <t xml:space="preserve">ROL-06</t>
  </si>
  <si>
    <t xml:space="preserve">Role assigned to a user</t>
  </si>
  <si>
    <t xml:space="preserve">Remove a permission from the role</t>
  </si>
  <si>
    <t xml:space="preserve">Affected users lose it (record whether they must log in again or only refresh)</t>
  </si>
  <si>
    <t xml:space="preserve">ROL-07</t>
  </si>
  <si>
    <t xml:space="preserve">Deactivate then activate a role</t>
  </si>
  <si>
    <t xml:space="preserve">Confirmation dialog; status changes; users with a deactivated role are handled as designed (record behaviour)</t>
  </si>
  <si>
    <t xml:space="preserve">ROL-08</t>
  </si>
  <si>
    <t xml:space="preserve">Role assigned to users</t>
  </si>
  <si>
    <t xml:space="preserve">Delete the role</t>
  </si>
  <si>
    <t xml:space="preserve">Refused while users hold it</t>
  </si>
  <si>
    <t xml:space="preserve">ROL-09</t>
  </si>
  <si>
    <t xml:space="preserve">Built-in roles</t>
  </si>
  <si>
    <t xml:space="preserve">Try to edit / delete the built-in roles (Admin, Supervisor, Clerk, Teacher)</t>
  </si>
  <si>
    <t xml:space="preserve">Record what is allowed; Admin must never lose the ability to manage the system</t>
  </si>
  <si>
    <t xml:space="preserve">ROL-10</t>
  </si>
  <si>
    <t xml:space="preserve">Role holder</t>
  </si>
  <si>
    <t xml:space="preserve">User who lacks some permission P</t>
  </si>
  <si>
    <t xml:space="preserve">Edit a role to include P</t>
  </si>
  <si>
    <t xml:space="preserve">Refused (you cannot grant permissions you do not hold)</t>
  </si>
  <si>
    <t xml:space="preserve">ROL-11</t>
  </si>
  <si>
    <t xml:space="preserve">Role without Roles permissions</t>
  </si>
  <si>
    <t xml:space="preserve">No access / clear message</t>
  </si>
  <si>
    <t xml:space="preserve">ACC-01</t>
  </si>
  <si>
    <t xml:space="preserve">Profile</t>
  </si>
  <si>
    <t xml:space="preserve">Any staff</t>
  </si>
  <si>
    <t xml:space="preserve">Open My Account</t>
  </si>
  <si>
    <t xml:space="preserve">Own profile, e-mail, addresses, password section shown</t>
  </si>
  <si>
    <t xml:space="preserve">ACC-02</t>
  </si>
  <si>
    <t xml:space="preserve">Edit full name, mobile, date of birth, qualification, emergency contact, blood group; Save</t>
  </si>
  <si>
    <t xml:space="preserve">Saved; shown again after reload</t>
  </si>
  <si>
    <t xml:space="preserve">ACC-03</t>
  </si>
  <si>
    <t xml:space="preserve">Look for username, role, status, joining date</t>
  </si>
  <si>
    <t xml:space="preserve">Not editable by the user</t>
  </si>
  <si>
    <t xml:space="preserve">ACC-04</t>
  </si>
  <si>
    <t xml:space="preserve">Invalid mobile / e-mail; e-mail used by someone else</t>
  </si>
  <si>
    <t xml:space="preserve">Clear messages</t>
  </si>
  <si>
    <t xml:space="preserve">ACC-05</t>
  </si>
  <si>
    <t xml:space="preserve">Add / edit address</t>
  </si>
  <si>
    <t xml:space="preserve">ACC-06</t>
  </si>
  <si>
    <t xml:space="preserve">Password</t>
  </si>
  <si>
    <t xml:space="preserve">Change password with the correct current password and a strong new one</t>
  </si>
  <si>
    <t xml:space="preserve">Success; other sessions end; new password works</t>
  </si>
  <si>
    <t xml:space="preserve">ACC-07</t>
  </si>
  <si>
    <t xml:space="preserve">Wrong current password / weak new password / new = old</t>
  </si>
  <si>
    <t xml:space="preserve">Clear messages; password unchanged</t>
  </si>
  <si>
    <t xml:space="preserve">ACC-08</t>
  </si>
  <si>
    <t xml:space="preserve">Theme</t>
  </si>
  <si>
    <t xml:space="preserve">Change theme</t>
  </si>
  <si>
    <t xml:space="preserve">Saved per user and kept after logout/login</t>
  </si>
  <si>
    <t xml:space="preserve">ACC-09</t>
  </si>
  <si>
    <t xml:space="preserve">Forced change</t>
  </si>
  <si>
    <t xml:space="preserve">New user</t>
  </si>
  <si>
    <t xml:space="preserve">MustChangePassword set</t>
  </si>
  <si>
    <t xml:space="preserve">Log in and try to open another page</t>
  </si>
  <si>
    <t xml:space="preserve">Only the Change Password page is reachable until done</t>
  </si>
  <si>
    <t xml:space="preserve">SET-01</t>
  </si>
  <si>
    <t xml:space="preserve">Open Settings</t>
  </si>
  <si>
    <t xml:space="preserve">Identity, Contact, Time zone &amp; currency, Working days, About sections load with current values</t>
  </si>
  <si>
    <t xml:space="preserve">SET-02</t>
  </si>
  <si>
    <t xml:space="preserve">Change school name and Save</t>
  </si>
  <si>
    <t xml:space="preserve">Saved; top bar shows the new name after refresh</t>
  </si>
  <si>
    <t xml:space="preserve">SET-03</t>
  </si>
  <si>
    <t xml:space="preserve">Clear the school name; invalid e-mail / website / phone</t>
  </si>
  <si>
    <t xml:space="preserve">Clear messages; nothing saved</t>
  </si>
  <si>
    <t xml:space="preserve">SET-04</t>
  </si>
  <si>
    <t xml:space="preserve">Currency code not 3 capital letters; invalid time zone</t>
  </si>
  <si>
    <t xml:space="preserve">Refused with message</t>
  </si>
  <si>
    <t xml:space="preserve">SET-05</t>
  </si>
  <si>
    <t xml:space="preserve">Untick all working days, Save</t>
  </si>
  <si>
    <t xml:space="preserve">Refused: at least one working day required</t>
  </si>
  <si>
    <t xml:space="preserve">SET-06</t>
  </si>
  <si>
    <t xml:space="preserve">Change country, time zone, currency, working days; Save; reload</t>
  </si>
  <si>
    <t xml:space="preserve">Values persist</t>
  </si>
  <si>
    <t xml:space="preserve">SET-07</t>
  </si>
  <si>
    <t xml:space="preserve">Two Admins on Settings</t>
  </si>
  <si>
    <t xml:space="preserve">Both open; one saves; the other saves</t>
  </si>
  <si>
    <t xml:space="preserve">Second save refused with a conflict message</t>
  </si>
  <si>
    <t xml:space="preserve">SET-08</t>
  </si>
  <si>
    <t xml:space="preserve">Role without Settings permissions</t>
  </si>
  <si>
    <t xml:space="preserve">SET-09</t>
  </si>
  <si>
    <t xml:space="preserve">User with Settings.View only</t>
  </si>
  <si>
    <t xml:space="preserve">Fields visible but not editable / Save refused</t>
  </si>
  <si>
    <t xml:space="preserve">DSH-01</t>
  </si>
  <si>
    <t xml:space="preserve">Open the Dashboard</t>
  </si>
  <si>
    <t xml:space="preserve">Welcome message shown (no widgets built yet); no errors</t>
  </si>
  <si>
    <t xml:space="preserve">RBAC-01</t>
  </si>
  <si>
    <t xml:space="preserve">Try to add a class / student / parent / teacher</t>
  </si>
  <si>
    <t xml:space="preserve">403 shown as a clear 'You do not have permission' message; no crash; no data created</t>
  </si>
  <si>
    <t xml:space="preserve">RBAC-02</t>
  </si>
  <si>
    <t xml:space="preserve">Student with identity numbers</t>
  </si>
  <si>
    <t xml:space="preserve">View the student</t>
  </si>
  <si>
    <t xml:space="preserve">Identity numbers masked</t>
  </si>
  <si>
    <t xml:space="preserve">RBAC-03</t>
  </si>
  <si>
    <t xml:space="preserve">Supervisor</t>
  </si>
  <si>
    <t xml:space="preserve">View a student's identity numbers; try to edit them</t>
  </si>
  <si>
    <t xml:space="preserve">Supervisor can view as the role allows, but cannot edit identity: that needs both Students.Edit and Students.ViewSensitive (expect the edit to be hidden or refused with 403)</t>
  </si>
  <si>
    <t xml:space="preserve">RBAC-04</t>
  </si>
  <si>
    <t xml:space="preserve">Mark attendance for own class</t>
  </si>
  <si>
    <t xml:space="preserve">Works</t>
  </si>
  <si>
    <t xml:space="preserve">RBAC-05</t>
  </si>
  <si>
    <t xml:space="preserve">Look for Admissions in the menu; type /admissions in the address bar</t>
  </si>
  <si>
    <t xml:space="preserve">Admissions is not in the Teacher menu; the URL redirects away (Teacher has no Admissions.View); nothing created</t>
  </si>
  <si>
    <t xml:space="preserve">RBAC-06</t>
  </si>
  <si>
    <t xml:space="preserve">Permission change</t>
  </si>
  <si>
    <t xml:space="preserve">User logged in</t>
  </si>
  <si>
    <t xml:space="preserve">Admin changes the user's role/permissions</t>
  </si>
  <si>
    <t xml:space="preserve">User gets the new rights on next request (record whether re-login is needed)</t>
  </si>
  <si>
    <t xml:space="preserve">RBAC-07</t>
  </si>
  <si>
    <t xml:space="preserve">Direct URL</t>
  </si>
  <si>
    <t xml:space="preserve">User without permission for a page</t>
  </si>
  <si>
    <t xml:space="preserve">Type that page's URL</t>
  </si>
  <si>
    <t xml:space="preserve">No data shown; safe redirect or message</t>
  </si>
  <si>
    <t xml:space="preserve">RBAC-08</t>
  </si>
  <si>
    <t xml:space="preserve">API</t>
  </si>
  <si>
    <t xml:space="preserve">(Technical tester) call an endpoint with a missing / expired / another user's token in Swagger or Postman</t>
  </si>
  <si>
    <t xml:space="preserve">401 for no/invalid token, 403 for missing permission, never data</t>
  </si>
  <si>
    <t xml:space="preserve">E2E-01</t>
  </si>
  <si>
    <t xml:space="preserve">Full school day</t>
  </si>
  <si>
    <t xml:space="preserve">Clean ZT test data</t>
  </si>
  <si>
    <t xml:space="preserve">1) Admin logs in. 2) Create 'ZT Class A' (cap 30) and 'ZT Class B'. 3) Subject 'ZT Math' in A. 4) Create teacher zt.teacher1, assign Math in A and make class teacher. 5) Parent 'ZT Father' mobile 9876501111. 6) Register 'ZTKid One' with Father (same mobile) and Mother (new mobile); confirm with fee 500; enrol into A.</t>
  </si>
  <si>
    <t xml:space="preserve">Father matched to the existing parent, Mother created new; student Active; Linked Parents shows both; History shows one Active row</t>
  </si>
  <si>
    <t xml:space="preserve">E2E-02</t>
  </si>
  <si>
    <t xml:space="preserve">After E2E-01</t>
  </si>
  <si>
    <t xml:space="preserve">Edit the student: allergy, one pickup person, blood group; reopen. Move to Class B, then back to A</t>
  </si>
  <si>
    <t xml:space="preserve">Everything persisted; History shows Transferred + Active and then a third row</t>
  </si>
  <si>
    <t xml:space="preserve">E2E-03</t>
  </si>
  <si>
    <t xml:space="preserve">After E2E-02</t>
  </si>
  <si>
    <t xml:space="preserve">Mark class A today: Mark All Present, one Late, one Absent; Save; reload</t>
  </si>
  <si>
    <t xml:space="preserve">Saved values returned</t>
  </si>
  <si>
    <t xml:space="preserve">E2E-04</t>
  </si>
  <si>
    <t xml:space="preserve">Teacher / Clerk</t>
  </si>
  <si>
    <t xml:space="preserve">After E2E-03</t>
  </si>
  <si>
    <t xml:space="preserve">Log in as zt.teacher1: class A editable, class B read-only. Log in as Clerk: identity masked, adding a class gives a friendly 403</t>
  </si>
  <si>
    <t xml:space="preserve">As stated</t>
  </si>
  <si>
    <t xml:space="preserve">E2E-05</t>
  </si>
  <si>
    <t xml:space="preserve">Reject a new application with a reason; open View Rejection Reason. Then delete all ZT data in reverse order</t>
  </si>
  <si>
    <t xml:space="preserve">Reason shown; deletions succeed in order (students, parents, subjects, teachers, classes)</t>
  </si>
  <si>
    <t xml:space="preserve">E2E-06</t>
  </si>
  <si>
    <t xml:space="preserve">Sibling admission</t>
  </si>
  <si>
    <t xml:space="preserve">Register two applicants with the SAME father mobile; enrol the first with Father 'Create new'. Register the second and pick the same father with 'Pick an existing parent'; enrol it</t>
  </si>
  <si>
    <t xml:space="preserve">Second child linked to the same father; Parents list shows one father with two children; no duplicate parent</t>
  </si>
  <si>
    <t xml:space="preserve">E2E-07</t>
  </si>
  <si>
    <t xml:space="preserve">Create a second parent with the same mobile; enrol a third applicant typed with that mobile</t>
  </si>
  <si>
    <t xml:space="preserve">Enrol dialog forces a choice and shows both candidates</t>
  </si>
  <si>
    <t xml:space="preserve">E2E-08</t>
  </si>
  <si>
    <t xml:space="preserve">Class full / inactive</t>
  </si>
  <si>
    <t xml:space="preserve">Class capacity 1: enrol one student, try a second. Then deactivate a class</t>
  </si>
  <si>
    <t xml:space="preserve">Second enrolment 'is full'; inactive class disappears from application/enrol class lists; existing applicant can still be edited</t>
  </si>
  <si>
    <t xml:space="preserve">E2E-09</t>
  </si>
  <si>
    <t xml:space="preserve">Left and return</t>
  </si>
  <si>
    <t xml:space="preserve">Mark a student Left; check class strength and attendance roster for a new date; set Active again</t>
  </si>
  <si>
    <t xml:space="preserve">Strength drops then returns; roster excludes the student while Left; History has Left then new Active row</t>
  </si>
  <si>
    <t xml:space="preserve">E2E-10</t>
  </si>
  <si>
    <t xml:space="preserve">Staff lifecycle</t>
  </si>
  <si>
    <t xml:space="preserve">Create a Clerk user -&gt; log in (forced password change) -&gt; Admin resets password -&gt; suspend -&gt; unlock/activate -&gt; delete</t>
  </si>
  <si>
    <t xml:space="preserve">Each step behaves as the USR cases; deleted user cannot log in and username is reusable</t>
  </si>
  <si>
    <t xml:space="preserve">E2E-11</t>
  </si>
  <si>
    <t xml:space="preserve">Two Admin-level users (one uploads, one reviews)</t>
  </si>
  <si>
    <t xml:space="preserve">Register an application with a Birth certificate; confirm; enrol; reviewer verifies the document; check it on the student; unverify; delete</t>
  </si>
  <si>
    <t xml:space="preserve">Document is visible on the student (record if not); no self-review; a verified document cannot be deleted until unverified</t>
  </si>
  <si>
    <t xml:space="preserve">NFR-01</t>
  </si>
  <si>
    <t xml:space="preserve">Browsers</t>
  </si>
  <si>
    <t xml:space="preserve">Repeat a core flow (login, admission, attendance) on Chrome and Edge (and Firefox/Safari if used)</t>
  </si>
  <si>
    <t xml:space="preserve">Same behaviour</t>
  </si>
  <si>
    <t xml:space="preserve">NFR-02</t>
  </si>
  <si>
    <t xml:space="preserve">Accessibility</t>
  </si>
  <si>
    <t xml:space="preserve">Use only the keyboard on a form: Tab order, Enter to submit, Esc to close modals</t>
  </si>
  <si>
    <t xml:space="preserve">Logical order, visible focus</t>
  </si>
  <si>
    <t xml:space="preserve">NFR-03</t>
  </si>
  <si>
    <t xml:space="preserve">Zoom</t>
  </si>
  <si>
    <t xml:space="preserve">Browser zoom 150%</t>
  </si>
  <si>
    <t xml:space="preserve">Layout intact</t>
  </si>
  <si>
    <t xml:space="preserve">NFR-04</t>
  </si>
  <si>
    <t xml:space="preserve">Volume</t>
  </si>
  <si>
    <t xml:space="preserve">~500 students (seed via SQL)</t>
  </si>
  <si>
    <t xml:space="preserve">Open Students, filter, search</t>
  </si>
  <si>
    <t xml:space="preserve">Page renders in about 2 s; filters stay responsive</t>
  </si>
  <si>
    <t xml:space="preserve">NFR-05</t>
  </si>
  <si>
    <t xml:space="preserve">Slow network</t>
  </si>
  <si>
    <t xml:space="preserve">Use browser 'Slow 3G'; save something</t>
  </si>
  <si>
    <t xml:space="preserve">Loading states visible; no duplicate submissions</t>
  </si>
  <si>
    <t xml:space="preserve">NFR-06</t>
  </si>
  <si>
    <t xml:space="preserve">Double submit</t>
  </si>
  <si>
    <t xml:space="preserve">Double-click Save buttons on each form</t>
  </si>
  <si>
    <t xml:space="preserve">One request / one record each</t>
  </si>
  <si>
    <t xml:space="preserve">NFR-07</t>
  </si>
  <si>
    <t xml:space="preserve">Console / network</t>
  </si>
  <si>
    <t xml:space="preserve">DevTools open</t>
  </si>
  <si>
    <t xml:space="preserve">Run through any module</t>
  </si>
  <si>
    <t xml:space="preserve">No red console errors; no 500 responses at any point</t>
  </si>
  <si>
    <t xml:space="preserve">NFR-08</t>
  </si>
  <si>
    <t xml:space="preserve">Dates</t>
  </si>
  <si>
    <t xml:space="preserve">Check date display and entry (dd/mm/yyyy vs mm/dd) on several forms</t>
  </si>
  <si>
    <t xml:space="preserve">Consistent and unambiguous; invalid dates refused</t>
  </si>
  <si>
    <t xml:space="preserve">LOG-16</t>
  </si>
  <si>
    <t xml:space="preserve">Login page</t>
  </si>
  <si>
    <t xml:space="preserve">Open the login page</t>
  </si>
  <si>
    <t xml:space="preserve">Heading 'Sign in to Escoule'; brand name Escoule on the left; under the Sign in button: 'Forgot your password? Ask your administrator to reset it.'</t>
  </si>
  <si>
    <t xml:space="preserve">New Oct 15</t>
  </si>
  <si>
    <t xml:space="preserve">LAY-09</t>
  </si>
  <si>
    <t xml:space="preserve">Branding</t>
  </si>
  <si>
    <t xml:space="preserve">Look at the sidebar header, the footer and the browser tab title</t>
  </si>
  <si>
    <t xml:space="preserve">Shows 'Escoule' only: no 'Synergein School' and no 'Demo School'</t>
  </si>
  <si>
    <t xml:space="preserve">CMP-11</t>
  </si>
  <si>
    <t xml:space="preserve">Searchable dropdown</t>
  </si>
  <si>
    <t xml:space="preserve">A dropdown with 6 or more options (Nationality, Class on Attendance, a list filter)</t>
  </si>
  <si>
    <t xml:space="preserve">Open it, type part of an option, use Arrow keys and Enter; press Esc</t>
  </si>
  <si>
    <t xml:space="preserve">A search box sits at the top; the list narrows as you type; Enter picks the highlighted option; Esc closes without changing; 'No matches' when nothing fits; dropdowns with fewer than 6 options stay a plain list</t>
  </si>
  <si>
    <t xml:space="preserve">CMP-12</t>
  </si>
  <si>
    <t xml:space="preserve">Fixed tabs</t>
  </si>
  <si>
    <t xml:space="preserve">Open an Add/Edit full-page form (e.g. Edit Student); click each section tab; clear a required field and Save</t>
  </si>
  <si>
    <t xml:space="preserve">Only the clicked section shows and its tab is highlighted; no sideways scrolling; after a failed save the first tab with an error opens and shows a red count</t>
  </si>
  <si>
    <t xml:space="preserve">ADM-42</t>
  </si>
  <si>
    <t xml:space="preserve">Open Admissions and an application's page</t>
  </si>
  <si>
    <t xml:space="preserve">Column and header read 'Reg No' (not 'REG #')</t>
  </si>
  <si>
    <t xml:space="preserve">ADM-43</t>
  </si>
  <si>
    <t xml:space="preserve">Register - class choice</t>
  </si>
  <si>
    <t xml:space="preserve">Classes 'Class 1 A' and 'Class 1 B' exist</t>
  </si>
  <si>
    <t xml:space="preserve">New Registration &gt; open the Class list</t>
  </si>
  <si>
    <t xml:space="preserve">One entry per class with its academic year (e.g. 'Class 1 (2026-2027)'), no section; hint says the section is chosen at enrolment; list and details show the class without a section after saving</t>
  </si>
  <si>
    <t xml:space="preserve">ADM-44</t>
  </si>
  <si>
    <t xml:space="preserve">Enrol - section</t>
  </si>
  <si>
    <t xml:space="preserve">Application registered for 'Class 1'</t>
  </si>
  <si>
    <t xml:space="preserve">Click Enrol; the Class list shows every section; pick Class 1 B; enrol</t>
  </si>
  <si>
    <t xml:space="preserve">Sections are listed (Class 1 A, 1 B); the student is placed in the section you chose</t>
  </si>
  <si>
    <t xml:space="preserve">ADM-45</t>
  </si>
  <si>
    <t xml:space="preserve">Register - guardian mobile</t>
  </si>
  <si>
    <t xml:space="preserve">Add a guardian with a name but no mobile; Save</t>
  </si>
  <si>
    <t xml:space="preserve">Mobile has a red star; error 'Mobile is required.'; saves once the mobile is filled (not needed when an existing parent is picked)</t>
  </si>
  <si>
    <t xml:space="preserve">ADM-46</t>
  </si>
  <si>
    <t xml:space="preserve">Register - hints</t>
  </si>
  <si>
    <t xml:space="preserve">Read the Remarks and Documents sections of New Registration</t>
  </si>
  <si>
    <t xml:space="preserve">Remarks says it is an internal note for the office; Documents says no document is needed to register and that the Type of each file is picked from the list</t>
  </si>
  <si>
    <t xml:space="preserve">STU-47</t>
  </si>
  <si>
    <t xml:space="preserve">Citizenship</t>
  </si>
  <si>
    <t xml:space="preserve">Existing student with an old free-text nationality</t>
  </si>
  <si>
    <t xml:space="preserve">Edit &gt; Citizenship</t>
  </si>
  <si>
    <t xml:space="preserve">Nationality is a searchable dropdown (Indian and Emirati first); the old value is still shown and kept; there is no 'Second nationality' field</t>
  </si>
  <si>
    <t xml:space="preserve">STU-48</t>
  </si>
  <si>
    <t xml:space="preserve">Removed fields</t>
  </si>
  <si>
    <t xml:space="preserve">Open a student's Edit and View pages and the list filters/export</t>
  </si>
  <si>
    <t xml:space="preserve">No EAL code, no Second nationality, no Insurance provider/expiry, no English-level filter or EAL column in the CSV</t>
  </si>
  <si>
    <t xml:space="preserve">STU-49</t>
  </si>
  <si>
    <t xml:space="preserve">Active student with a class period and attendance</t>
  </si>
  <si>
    <t xml:space="preserve">Click 'Mark as left' (list row icon or the student's page) and confirm</t>
  </si>
  <si>
    <t xml:space="preserve">Status becomes Left; the class history period closes as Left; the seat is freed; the student leaves the attendance roster; record and history remain; the button disappears</t>
  </si>
  <si>
    <t xml:space="preserve">STU-50</t>
  </si>
  <si>
    <t xml:space="preserve">Left - permission</t>
  </si>
  <si>
    <t xml:space="preserve">Open Students and a student page</t>
  </si>
  <si>
    <t xml:space="preserve">No 'Mark as left' action (needs Students.Edit); no Delete anywhere</t>
  </si>
  <si>
    <t xml:space="preserve">STU-51</t>
  </si>
  <si>
    <t xml:space="preserve">Left - twice</t>
  </si>
  <si>
    <t xml:space="preserve">Student already Left</t>
  </si>
  <si>
    <t xml:space="preserve">Swagger: POST /api/students/{id}/leave again</t>
  </si>
  <si>
    <t xml:space="preserve">422 'This student has already left.'; nothing changes</t>
  </si>
  <si>
    <t xml:space="preserve">PAR-17</t>
  </si>
  <si>
    <t xml:space="preserve">Delete - linked children</t>
  </si>
  <si>
    <t xml:space="preserve">Parent linked to a student</t>
  </si>
  <si>
    <t xml:space="preserve">Refused: 'This parent is linked to N student(s). Unlink them first, then delete the parent.'; the parent still exists</t>
  </si>
  <si>
    <t xml:space="preserve">PAR-18</t>
  </si>
  <si>
    <t xml:space="preserve">Delete - after unlink</t>
  </si>
  <si>
    <t xml:space="preserve">Same parent as PAR-17</t>
  </si>
  <si>
    <t xml:space="preserve">Unlink every child (Linked children), then delete the parent</t>
  </si>
  <si>
    <t xml:space="preserve">Delete now works</t>
  </si>
  <si>
    <t xml:space="preserve">PAR-19</t>
  </si>
  <si>
    <t xml:space="preserve">Dropdowns and sections</t>
  </si>
  <si>
    <t xml:space="preserve">Add a parent; look at Country of residence, Preferred language and the sections</t>
  </si>
  <si>
    <t xml:space="preserve">Country of residence offers India and United Arab Emirates; Preferred language includes Tamil; there is no 'Work &amp; billing' section in the form, the details page or the header badges</t>
  </si>
  <si>
    <t xml:space="preserve">ATT-26</t>
  </si>
  <si>
    <t xml:space="preserve">Rules - 24 hours</t>
  </si>
  <si>
    <t xml:space="preserve">Class teacher; attendance saved for yesterday</t>
  </si>
  <si>
    <t xml:space="preserve">Open yesterday and edit it; then open the day before yesterday</t>
  </si>
  <si>
    <t xml:space="preserve">Yesterday and today are editable; the day before is locked ('Only an Admin can change attendance older than 1 day'); Admin can still edit it</t>
  </si>
  <si>
    <t xml:space="preserve">ADM-47</t>
  </si>
  <si>
    <t xml:space="preserve">Confirm - required payment</t>
  </si>
  <si>
    <t xml:space="preserve">Open Confirm Admission, leave Fee amount and Payment reference empty; click Confirm</t>
  </si>
  <si>
    <t xml:space="preserve">Both fields show a red star and the errors 'Fee amount is required.' / 'Payment reference is required.'; nothing is saved; with both filled it moves to Admitted</t>
  </si>
  <si>
    <t xml:space="preserve">New Oct 16</t>
  </si>
  <si>
    <t xml:space="preserve">ADM-48</t>
  </si>
  <si>
    <t xml:space="preserve">Enrol - generated numbers</t>
  </si>
  <si>
    <t xml:space="preserve">Two Admitted applications for the same section</t>
  </si>
  <si>
    <t xml:space="preserve">Enrol the first with blank numbers, then the second</t>
  </si>
  <si>
    <t xml:space="preserve">First gets ADM-&lt;year&gt;-0001-style and &lt;class&gt;&lt;section&gt;001; second gets 0002 and 002; no gaps or duplicates; section A and B count separately</t>
  </si>
  <si>
    <t xml:space="preserve">ADM-49</t>
  </si>
  <si>
    <t xml:space="preserve">Enrol - typed number kept</t>
  </si>
  <si>
    <t xml:space="preserve">Admitted application</t>
  </si>
  <si>
    <t xml:space="preserve">Type your own roll and admission numbers and enrol</t>
  </si>
  <si>
    <t xml:space="preserve">Your numbers are used as typed; the next blank enrolment continues after the highest serial</t>
  </si>
  <si>
    <t xml:space="preserve">ADM-50</t>
  </si>
  <si>
    <t xml:space="preserve">Register - document type first</t>
  </si>
  <si>
    <t xml:space="preserve">New Registration &gt; Documents: look before choosing a type</t>
  </si>
  <si>
    <t xml:space="preserve">A 'What are you uploading?' dropdown (searchable) is above the file picker, which says 'Choose a document type first' and is disabled until a type is chosen</t>
  </si>
  <si>
    <t xml:space="preserve">STU-52</t>
  </si>
  <si>
    <t xml:space="preserve">Labels</t>
  </si>
  <si>
    <t xml:space="preserve">Check the Students list header, student pages, class page and parent page</t>
  </si>
  <si>
    <t xml:space="preserve">The label is 'Adm No' everywhere (no 'Adm #')</t>
  </si>
  <si>
    <t xml:space="preserve">STU-53</t>
  </si>
  <si>
    <t xml:space="preserve">Photo upload</t>
  </si>
  <si>
    <t xml:space="preserve">Edit student &gt; Basic: Upload photo, choose a JPG under 2 MB</t>
  </si>
  <si>
    <t xml:space="preserve">The photo shows at once in the form and in the header of the student page; no Save needed</t>
  </si>
  <si>
    <t xml:space="preserve">STU-54</t>
  </si>
  <si>
    <t xml:space="preserve">Photo - wrong file</t>
  </si>
  <si>
    <t xml:space="preserve">Choose a PDF, a renamed .exe, and a JPG over 2 MB, one by one</t>
  </si>
  <si>
    <t xml:space="preserve">Each is refused with a clear message (JPG or PNG only; size shown); the old photo stays</t>
  </si>
  <si>
    <t xml:space="preserve">STU-55</t>
  </si>
  <si>
    <t xml:space="preserve">Photo remove / replace</t>
  </si>
  <si>
    <t xml:space="preserve">A student with a photo</t>
  </si>
  <si>
    <t xml:space="preserve">Change photo to another picture; then Remove</t>
  </si>
  <si>
    <t xml:space="preserve">The new picture replaces the old; after Remove the initials show again</t>
  </si>
  <si>
    <t xml:space="preserve">USR-23</t>
  </si>
  <si>
    <t xml:space="preserve">Employee number generated</t>
  </si>
  <si>
    <t xml:space="preserve">Create a teacher and then a clerk, leaving Employee no. blank</t>
  </si>
  <si>
    <t xml:space="preserve">They get EMP-0001 and EMP-0002; a typed number is kept; a duplicate is refused</t>
  </si>
  <si>
    <t xml:space="preserve">LAY-10</t>
  </si>
  <si>
    <t xml:space="preserve">No link underlines</t>
  </si>
  <si>
    <t xml:space="preserve">Parents and Students lists</t>
  </si>
  <si>
    <t xml:space="preserve">Look at names and mobile numbers, and hover over them</t>
  </si>
  <si>
    <t xml:space="preserve">No underline anywhere, hovering included; links are still coloured and clickable</t>
  </si>
  <si>
    <t xml:space="preserve">CLS-15</t>
  </si>
  <si>
    <t xml:space="preserve">Demo class set</t>
  </si>
  <si>
    <t xml:space="preserve">After demo-reset and demo-seed</t>
  </si>
  <si>
    <t xml:space="preserve">Open Classes</t>
  </si>
  <si>
    <t xml:space="preserve">LKG, UKG and Class 1 to 5 each have sections A and B, every one with capacity 30</t>
  </si>
  <si>
    <t xml:space="preserve">Test data to set up first</t>
  </si>
  <si>
    <t xml:space="preserve">Create these in a TEST database. Passwords are suggestions: change them if your policy differs (8+ characters, upper case, digit, special character).</t>
  </si>
  <si>
    <t xml:space="preserve">Username</t>
  </si>
  <si>
    <t xml:space="preserve">Role</t>
  </si>
  <si>
    <t xml:space="preserve">Suggested password</t>
  </si>
  <si>
    <t xml:space="preserve">Notes</t>
  </si>
  <si>
    <t xml:space="preserve">admin</t>
  </si>
  <si>
    <t xml:space="preserve">(existing admin)</t>
  </si>
  <si>
    <t xml:space="preserve">Full access. Use for most cases.</t>
  </si>
  <si>
    <t xml:space="preserve">admin2</t>
  </si>
  <si>
    <t xml:space="preserve">ZtAdmin#2026</t>
  </si>
  <si>
    <t xml:space="preserve">Second Admin: needed for document review (no self-review), concurrency and 'last Admin' cases.</t>
  </si>
  <si>
    <t xml:space="preserve">zt.clerk</t>
  </si>
  <si>
    <t xml:space="preserve">ZtClerk#2026</t>
  </si>
  <si>
    <t xml:space="preserve">Limited role. Used for permission and masking cases.</t>
  </si>
  <si>
    <t xml:space="preserve">zt.supervisor</t>
  </si>
  <si>
    <t xml:space="preserve">ZtSuper#2026</t>
  </si>
  <si>
    <t xml:space="preserve">Limited role; can see identity values.</t>
  </si>
  <si>
    <t xml:space="preserve">zt.teacher1</t>
  </si>
  <si>
    <t xml:space="preserve">ZtTeach#2026</t>
  </si>
  <si>
    <t xml:space="preserve">Class teacher of 'ZT Class A' (assign it in Teachers). Used for attendance and scoped-access cases.</t>
  </si>
  <si>
    <t xml:space="preserve">zt.custom</t>
  </si>
  <si>
    <t xml:space="preserve">Custom role 'ZT NoParents'</t>
  </si>
  <si>
    <t xml:space="preserve">ZtCustom#2026</t>
  </si>
  <si>
    <t xml:space="preserve">Create a role with Admissions.Create/Edit but WITHOUT Parents.View (cases ADM-G09, G10). Also create 'ZT ParentsOnly' with Parents.View but no Admissions rights (ADM-G11).</t>
  </si>
  <si>
    <t xml:space="preserve">Sample records</t>
  </si>
  <si>
    <t xml:space="preserve">Record</t>
  </si>
  <si>
    <t xml:space="preserve">Name / value</t>
  </si>
  <si>
    <t xml:space="preserve">Details</t>
  </si>
  <si>
    <t xml:space="preserve">Class</t>
  </si>
  <si>
    <t xml:space="preserve">Section A, Primary, English, General, capacity 30</t>
  </si>
  <si>
    <t xml:space="preserve">Second class: ZT Class B. For 'full' tests make one with capacity 1.</t>
  </si>
  <si>
    <t xml:space="preserve">Subject</t>
  </si>
  <si>
    <t xml:space="preserve">ZT Math</t>
  </si>
  <si>
    <t xml:space="preserve">Class A, Theory, max 100, pass 35</t>
  </si>
  <si>
    <t xml:space="preserve">Parent</t>
  </si>
  <si>
    <t xml:space="preserve">ZT Father</t>
  </si>
  <si>
    <t xml:space="preserve">Mobile 9876501111</t>
  </si>
  <si>
    <t xml:space="preserve">Used in E2E-01, E2E-06 and the existing-parent cases.</t>
  </si>
  <si>
    <t xml:space="preserve">ZT Mother</t>
  </si>
  <si>
    <t xml:space="preserve">Mobile 9876502222</t>
  </si>
  <si>
    <t xml:space="preserve">Applicant</t>
  </si>
  <si>
    <t xml:space="preserve">ZTKid One</t>
  </si>
  <si>
    <t xml:space="preserve">DOB a valid past date, Class A</t>
  </si>
  <si>
    <t xml:space="preserve">Guardians: Father (mobile 9876501111) and Mother.</t>
  </si>
  <si>
    <t xml:space="preserve">small.pdf, photo.jpg, scan.png</t>
  </si>
  <si>
    <t xml:space="preserve">Any small files</t>
  </si>
  <si>
    <t xml:space="preserve">Also: a text file renamed .pdf (must be refused) and a file over 5 MB.</t>
  </si>
  <si>
    <t xml:space="preserve">Time</t>
  </si>
  <si>
    <t xml:space="preserve">Test around midnight</t>
  </si>
  <si>
    <t xml:space="preserve">00:00-04:00 Abu Dhabi</t>
  </si>
  <si>
    <t xml:space="preserve">For case ATT-25 only.</t>
  </si>
  <si>
    <t xml:space="preserve">Defect Log</t>
  </si>
  <si>
    <t xml:space="preserve">One row per defect. Row 5 is an EXAMPLE (not counted in the Summary) showing the expected level of detail: overwrite or delete it. Copy the Defect ID into the failing test row.</t>
  </si>
  <si>
    <t xml:space="preserve">Severity: Critical = data loss / security / cannot continue; High = core feature broken; Medium = workaround exists; Low = cosmetic.</t>
  </si>
  <si>
    <t xml:space="preserve">Date Found</t>
  </si>
  <si>
    <t xml:space="preserve">Summary (one line)</t>
  </si>
  <si>
    <t xml:space="preserve">Steps to reproduce</t>
  </si>
  <si>
    <t xml:space="preserve">Expected vs Actual</t>
  </si>
  <si>
    <t xml:space="preserve">Severity</t>
  </si>
  <si>
    <t xml:space="preserve">Reported By</t>
  </si>
  <si>
    <t xml:space="preserve">Screenshot / File</t>
  </si>
  <si>
    <t xml:space="preserve">Developer Notes</t>
  </si>
  <si>
    <t xml:space="preserve">DEF-001</t>
  </si>
  <si>
    <t xml:space="preserve">2026-10-15</t>
  </si>
  <si>
    <t xml:space="preserve">EXAMPLE: Moving a student to another class does not add a history row</t>
  </si>
  <si>
    <t xml:space="preserve">1. Login as Admin 2. Students &gt; Edit 'ZTKid One' 3. Change class A to B, Save 4. Open Academic History</t>
  </si>
  <si>
    <t xml:space="preserve">Expected: two rows (Transferred + Active). Actual: one row only. Console shows no error.</t>
  </si>
  <si>
    <t xml:space="preserve">New</t>
  </si>
  <si>
    <t xml:space="preserve">Tester name</t>
  </si>
  <si>
    <t xml:space="preserve">screenshot-001.png</t>
  </si>
</sst>
</file>

<file path=xl/styles.xml><?xml version="1.0" encoding="utf-8"?>
<styleSheet xmlns="http://schemas.openxmlformats.org/spreadsheetml/2006/main">
  <numFmts count="3">
    <numFmt numFmtId="164" formatCode="General"/>
    <numFmt numFmtId="165" formatCode="0%"/>
    <numFmt numFmtId="166" formatCode="yyyy\-mm\-dd"/>
  </numFmts>
  <fonts count="13">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name val="Arial"/>
      <family val="0"/>
      <charset val="1"/>
    </font>
    <font>
      <b val="true"/>
      <sz val="10"/>
      <name val="Arial"/>
      <family val="0"/>
      <charset val="1"/>
    </font>
    <font>
      <sz val="10"/>
      <name val="Arial"/>
      <family val="0"/>
      <charset val="1"/>
    </font>
    <font>
      <b val="true"/>
      <sz val="11"/>
      <name val="Arial"/>
      <family val="0"/>
      <charset val="1"/>
    </font>
    <font>
      <b val="true"/>
      <sz val="14"/>
      <name val="Arial"/>
      <family val="0"/>
      <charset val="1"/>
    </font>
    <font>
      <i val="true"/>
      <sz val="9"/>
      <name val="Arial"/>
      <family val="0"/>
      <charset val="1"/>
    </font>
    <font>
      <b val="true"/>
      <sz val="10"/>
      <color rgb="FFFFFFFF"/>
      <name val="Arial"/>
      <family val="0"/>
      <charset val="1"/>
    </font>
    <font>
      <i val="true"/>
      <sz val="10"/>
      <color rgb="FF7F7F7F"/>
      <name val="Arial"/>
      <family val="0"/>
      <charset val="1"/>
    </font>
  </fonts>
  <fills count="5">
    <fill>
      <patternFill patternType="none"/>
    </fill>
    <fill>
      <patternFill patternType="gray125"/>
    </fill>
    <fill>
      <patternFill patternType="solid">
        <fgColor rgb="FFD9E2F3"/>
        <bgColor rgb="FFEDEDED"/>
      </patternFill>
    </fill>
    <fill>
      <patternFill patternType="solid">
        <fgColor rgb="FFFFF9DB"/>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5"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9DB"/>
          <bgColor rgb="FF000000"/>
        </patternFill>
      </fill>
    </dxf>
    <dxf>
      <fill>
        <patternFill patternType="solid">
          <fgColor rgb="FFEDEDED"/>
          <bgColor rgb="FF000000"/>
        </patternFill>
      </fill>
    </dxf>
    <dxf>
      <fill>
        <patternFill>
          <bgColor rgb="FFC6EFCE"/>
        </patternFill>
      </fill>
    </dxf>
    <dxf>
      <fill>
        <patternFill>
          <bgColor rgb="FFFFC7CE"/>
        </patternFill>
      </fill>
    </dxf>
    <dxf>
      <fill>
        <patternFill>
          <bgColor rgb="FFFFD9A8"/>
        </patternFill>
      </fill>
    </dxf>
    <dxf>
      <fill>
        <patternFill>
          <bgColor rgb="FFEDEDED"/>
        </patternFill>
      </fill>
    </dxf>
    <dxf>
      <font>
        <name val="Arial"/>
        <charset val="1"/>
        <family val="0"/>
        <color rgb="FF000000"/>
      </font>
    </dxf>
    <dxf>
      <fill>
        <patternFill patternType="solid">
          <fgColor rgb="FF7F7F7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DB"/>
      <rgbColor rgb="FFEDEDED"/>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C7CE"/>
      <rgbColor rgb="FFCC99FF"/>
      <rgbColor rgb="FFFFD9A8"/>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110"/>
  </cols>
  <sheetData>
    <row r="1" customFormat="false" ht="19.5" hidden="false" customHeight="true" outlineLevel="0" collapsed="false">
      <c r="B1" s="2" t="s">
        <v>0</v>
      </c>
    </row>
    <row r="2" customFormat="false" ht="15" hidden="false" customHeight="true" outlineLevel="0" collapsed="false">
      <c r="B2" s="3" t="s">
        <v>1</v>
      </c>
    </row>
    <row r="4" customFormat="false" ht="15" hidden="false" customHeight="true" outlineLevel="0" collapsed="false">
      <c r="B4" s="4" t="s">
        <v>2</v>
      </c>
      <c r="C4" s="5" t="s">
        <v>3</v>
      </c>
    </row>
    <row r="5" customFormat="false" ht="34.5" hidden="false" customHeight="true" outlineLevel="0" collapsed="false">
      <c r="B5" s="4" t="s">
        <v>4</v>
      </c>
      <c r="C5" s="5" t="s">
        <v>5</v>
      </c>
    </row>
    <row r="6" customFormat="false" ht="23.25" hidden="false" customHeight="true" outlineLevel="0" collapsed="false">
      <c r="B6" s="4" t="s">
        <v>6</v>
      </c>
      <c r="C6" s="5" t="s">
        <v>7</v>
      </c>
    </row>
    <row r="7" customFormat="false" ht="23.25" hidden="false" customHeight="true" outlineLevel="0" collapsed="false">
      <c r="B7" s="4" t="s">
        <v>8</v>
      </c>
      <c r="C7" s="5" t="s">
        <v>9</v>
      </c>
    </row>
    <row r="8" customFormat="false" ht="23.25" hidden="false" customHeight="true" outlineLevel="0" collapsed="false">
      <c r="B8" s="4" t="s">
        <v>10</v>
      </c>
      <c r="C8" s="5" t="s">
        <v>11</v>
      </c>
    </row>
    <row r="9" customFormat="false" ht="34.5" hidden="false" customHeight="true" outlineLevel="0" collapsed="false">
      <c r="B9" s="4" t="s">
        <v>12</v>
      </c>
      <c r="C9" s="5" t="s">
        <v>13</v>
      </c>
    </row>
    <row r="10" customFormat="false" ht="15" hidden="false" customHeight="true" outlineLevel="0" collapsed="false">
      <c r="B10" s="4" t="s">
        <v>14</v>
      </c>
      <c r="C10" s="5" t="s">
        <v>15</v>
      </c>
    </row>
    <row r="11" customFormat="false" ht="23.25" hidden="false" customHeight="true" outlineLevel="0" collapsed="false">
      <c r="B11" s="4" t="s">
        <v>16</v>
      </c>
      <c r="C11" s="5" t="s">
        <v>17</v>
      </c>
    </row>
    <row r="12" customFormat="false" ht="23.25" hidden="false" customHeight="true" outlineLevel="0" collapsed="false">
      <c r="B12" s="4" t="s">
        <v>18</v>
      </c>
      <c r="C12" s="5" t="s">
        <v>19</v>
      </c>
    </row>
    <row r="13" customFormat="false" ht="34.5" hidden="false" customHeight="true" outlineLevel="0" collapsed="false">
      <c r="B13" s="4" t="s">
        <v>20</v>
      </c>
      <c r="C13" s="5" t="s">
        <v>21</v>
      </c>
    </row>
    <row r="14" customFormat="false" ht="15" hidden="false" customHeight="true" outlineLevel="0" collapsed="false">
      <c r="B14" s="4" t="s">
        <v>22</v>
      </c>
      <c r="C14" s="5" t="s">
        <v>23</v>
      </c>
    </row>
    <row r="16" customFormat="false" ht="15" hidden="false" customHeight="true" outlineLevel="0" collapsed="false">
      <c r="B16" s="6" t="s">
        <v>24</v>
      </c>
    </row>
    <row r="17" customFormat="false" ht="15" hidden="false" customHeight="true" outlineLevel="0" collapsed="false">
      <c r="B17" s="7" t="s">
        <v>25</v>
      </c>
      <c r="C17" s="8" t="s">
        <v>26</v>
      </c>
    </row>
    <row r="18" customFormat="false" ht="15" hidden="false" customHeight="true" outlineLevel="0" collapsed="false">
      <c r="B18" s="8" t="s">
        <v>27</v>
      </c>
      <c r="C18" s="8"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7" min="2" style="1" width="10"/>
    <col collapsed="false" customWidth="true" hidden="false" outlineLevel="0" max="8" min="8" style="1" width="14"/>
    <col collapsed="false" customWidth="true" hidden="false" outlineLevel="0" max="9" min="9" style="1" width="20"/>
  </cols>
  <sheetData>
    <row r="1" customFormat="false" ht="17.25" hidden="false" customHeight="true" outlineLevel="0" collapsed="false">
      <c r="A1" s="9" t="s">
        <v>29</v>
      </c>
    </row>
    <row r="2" customFormat="false" ht="15" hidden="false" customHeight="true" outlineLevel="0" collapsed="false">
      <c r="A2" s="10" t="s">
        <v>30</v>
      </c>
    </row>
    <row r="4" customFormat="false" ht="31.5" hidden="false" customHeight="true" outlineLevel="0" collapsed="false">
      <c r="A4" s="11" t="s">
        <v>31</v>
      </c>
      <c r="B4" s="11" t="s">
        <v>32</v>
      </c>
      <c r="C4" s="11" t="s">
        <v>33</v>
      </c>
      <c r="D4" s="11" t="s">
        <v>34</v>
      </c>
      <c r="E4" s="11" t="s">
        <v>35</v>
      </c>
      <c r="F4" s="11" t="s">
        <v>36</v>
      </c>
      <c r="G4" s="11" t="s">
        <v>37</v>
      </c>
      <c r="H4" s="11" t="s">
        <v>38</v>
      </c>
      <c r="I4" s="11" t="s">
        <v>39</v>
      </c>
    </row>
    <row r="5" customFormat="false" ht="15" hidden="false" customHeight="true" outlineLevel="0" collapsed="false">
      <c r="A5" s="12" t="s">
        <v>40</v>
      </c>
      <c r="B5" s="13" t="n">
        <f aca="false">COUNTIF('Test Cases'!$B$2:$B$336,$A5)</f>
        <v>26</v>
      </c>
      <c r="C5" s="13" t="n">
        <f aca="false">COUNTIFS('Test Cases'!$B$2:$B$336,$A5,'Test Cases'!$K$2:$K$336,"Pass")</f>
        <v>0</v>
      </c>
      <c r="D5" s="13" t="n">
        <f aca="false">COUNTIFS('Test Cases'!$B$2:$B$336,$A5,'Test Cases'!$K$2:$K$336,"Fail")</f>
        <v>0</v>
      </c>
      <c r="E5" s="13" t="n">
        <f aca="false">COUNTIFS('Test Cases'!$B$2:$B$336,$A5,'Test Cases'!$K$2:$K$336,"Blocked")</f>
        <v>0</v>
      </c>
      <c r="F5" s="13" t="n">
        <f aca="false">COUNTIFS('Test Cases'!$B$2:$B$336,$A5,'Test Cases'!$K$2:$K$336,"N/A")</f>
        <v>0</v>
      </c>
      <c r="G5" s="13" t="n">
        <f aca="false">COUNTIFS('Test Cases'!$B$2:$B$336,$A5,'Test Cases'!$K$2:$K$336,"Not Run")</f>
        <v>26</v>
      </c>
      <c r="H5" s="14" t="n">
        <f aca="false">IFERROR((B5-G5-F5)/(B5-F5),0)</f>
        <v>0</v>
      </c>
      <c r="I5" s="14" t="n">
        <f aca="false">IFERROR(C5/(C5+D5),0)</f>
        <v>0</v>
      </c>
    </row>
    <row r="6" customFormat="false" ht="15" hidden="false" customHeight="true" outlineLevel="0" collapsed="false">
      <c r="A6" s="12" t="s">
        <v>41</v>
      </c>
      <c r="B6" s="13" t="n">
        <f aca="false">COUNTIF('Test Cases'!$B$2:$B$336,$A6)</f>
        <v>12</v>
      </c>
      <c r="C6" s="13" t="n">
        <f aca="false">COUNTIFS('Test Cases'!$B$2:$B$336,$A6,'Test Cases'!$K$2:$K$336,"Pass")</f>
        <v>0</v>
      </c>
      <c r="D6" s="13" t="n">
        <f aca="false">COUNTIFS('Test Cases'!$B$2:$B$336,$A6,'Test Cases'!$K$2:$K$336,"Fail")</f>
        <v>0</v>
      </c>
      <c r="E6" s="13" t="n">
        <f aca="false">COUNTIFS('Test Cases'!$B$2:$B$336,$A6,'Test Cases'!$K$2:$K$336,"Blocked")</f>
        <v>0</v>
      </c>
      <c r="F6" s="13" t="n">
        <f aca="false">COUNTIFS('Test Cases'!$B$2:$B$336,$A6,'Test Cases'!$K$2:$K$336,"N/A")</f>
        <v>0</v>
      </c>
      <c r="G6" s="13" t="n">
        <f aca="false">COUNTIFS('Test Cases'!$B$2:$B$336,$A6,'Test Cases'!$K$2:$K$336,"Not Run")</f>
        <v>12</v>
      </c>
      <c r="H6" s="14" t="n">
        <f aca="false">IFERROR((B6-G6-F6)/(B6-F6),0)</f>
        <v>0</v>
      </c>
      <c r="I6" s="14" t="n">
        <f aca="false">IFERROR(C6/(C6+D6),0)</f>
        <v>0</v>
      </c>
    </row>
    <row r="7" customFormat="false" ht="15" hidden="false" customHeight="true" outlineLevel="0" collapsed="false">
      <c r="A7" s="12" t="s">
        <v>42</v>
      </c>
      <c r="B7" s="13" t="n">
        <f aca="false">COUNTIF('Test Cases'!$B$2:$B$336,$A7)</f>
        <v>15</v>
      </c>
      <c r="C7" s="13" t="n">
        <f aca="false">COUNTIFS('Test Cases'!$B$2:$B$336,$A7,'Test Cases'!$K$2:$K$336,"Pass")</f>
        <v>0</v>
      </c>
      <c r="D7" s="13" t="n">
        <f aca="false">COUNTIFS('Test Cases'!$B$2:$B$336,$A7,'Test Cases'!$K$2:$K$336,"Fail")</f>
        <v>0</v>
      </c>
      <c r="E7" s="13" t="n">
        <f aca="false">COUNTIFS('Test Cases'!$B$2:$B$336,$A7,'Test Cases'!$K$2:$K$336,"Blocked")</f>
        <v>0</v>
      </c>
      <c r="F7" s="13" t="n">
        <f aca="false">COUNTIFS('Test Cases'!$B$2:$B$336,$A7,'Test Cases'!$K$2:$K$336,"N/A")</f>
        <v>0</v>
      </c>
      <c r="G7" s="13" t="n">
        <f aca="false">COUNTIFS('Test Cases'!$B$2:$B$336,$A7,'Test Cases'!$K$2:$K$336,"Not Run")</f>
        <v>15</v>
      </c>
      <c r="H7" s="14" t="n">
        <f aca="false">IFERROR((B7-G7-F7)/(B7-F7),0)</f>
        <v>0</v>
      </c>
      <c r="I7" s="14" t="n">
        <f aca="false">IFERROR(C7/(C7+D7),0)</f>
        <v>0</v>
      </c>
    </row>
    <row r="8" customFormat="false" ht="15" hidden="false" customHeight="true" outlineLevel="0" collapsed="false">
      <c r="A8" s="12" t="s">
        <v>43</v>
      </c>
      <c r="B8" s="13" t="n">
        <f aca="false">COUNTIF('Test Cases'!$B$2:$B$336,$A8)</f>
        <v>11</v>
      </c>
      <c r="C8" s="13" t="n">
        <f aca="false">COUNTIFS('Test Cases'!$B$2:$B$336,$A8,'Test Cases'!$K$2:$K$336,"Pass")</f>
        <v>0</v>
      </c>
      <c r="D8" s="13" t="n">
        <f aca="false">COUNTIFS('Test Cases'!$B$2:$B$336,$A8,'Test Cases'!$K$2:$K$336,"Fail")</f>
        <v>0</v>
      </c>
      <c r="E8" s="13" t="n">
        <f aca="false">COUNTIFS('Test Cases'!$B$2:$B$336,$A8,'Test Cases'!$K$2:$K$336,"Blocked")</f>
        <v>0</v>
      </c>
      <c r="F8" s="13" t="n">
        <f aca="false">COUNTIFS('Test Cases'!$B$2:$B$336,$A8,'Test Cases'!$K$2:$K$336,"N/A")</f>
        <v>0</v>
      </c>
      <c r="G8" s="13" t="n">
        <f aca="false">COUNTIFS('Test Cases'!$B$2:$B$336,$A8,'Test Cases'!$K$2:$K$336,"Not Run")</f>
        <v>11</v>
      </c>
      <c r="H8" s="14" t="n">
        <f aca="false">IFERROR((B8-G8-F8)/(B8-F8),0)</f>
        <v>0</v>
      </c>
      <c r="I8" s="14" t="n">
        <f aca="false">IFERROR(C8/(C8+D8),0)</f>
        <v>0</v>
      </c>
    </row>
    <row r="9" customFormat="false" ht="15" hidden="false" customHeight="true" outlineLevel="0" collapsed="false">
      <c r="A9" s="12" t="s">
        <v>44</v>
      </c>
      <c r="B9" s="13" t="n">
        <f aca="false">COUNTIF('Test Cases'!$B$2:$B$336,$A9)</f>
        <v>18</v>
      </c>
      <c r="C9" s="13" t="n">
        <f aca="false">COUNTIFS('Test Cases'!$B$2:$B$336,$A9,'Test Cases'!$K$2:$K$336,"Pass")</f>
        <v>0</v>
      </c>
      <c r="D9" s="13" t="n">
        <f aca="false">COUNTIFS('Test Cases'!$B$2:$B$336,$A9,'Test Cases'!$K$2:$K$336,"Fail")</f>
        <v>0</v>
      </c>
      <c r="E9" s="13" t="n">
        <f aca="false">COUNTIFS('Test Cases'!$B$2:$B$336,$A9,'Test Cases'!$K$2:$K$336,"Blocked")</f>
        <v>0</v>
      </c>
      <c r="F9" s="13" t="n">
        <f aca="false">COUNTIFS('Test Cases'!$B$2:$B$336,$A9,'Test Cases'!$K$2:$K$336,"N/A")</f>
        <v>0</v>
      </c>
      <c r="G9" s="13" t="n">
        <f aca="false">COUNTIFS('Test Cases'!$B$2:$B$336,$A9,'Test Cases'!$K$2:$K$336,"Not Run")</f>
        <v>18</v>
      </c>
      <c r="H9" s="14" t="n">
        <f aca="false">IFERROR((B9-G9-F9)/(B9-F9),0)</f>
        <v>0</v>
      </c>
      <c r="I9" s="14" t="n">
        <f aca="false">IFERROR(C9/(C9+D9),0)</f>
        <v>0</v>
      </c>
    </row>
    <row r="10" customFormat="false" ht="15" hidden="false" customHeight="true" outlineLevel="0" collapsed="false">
      <c r="A10" s="12" t="s">
        <v>45</v>
      </c>
      <c r="B10" s="13" t="n">
        <f aca="false">COUNTIF('Test Cases'!$B$2:$B$336,$A10)</f>
        <v>19</v>
      </c>
      <c r="C10" s="13" t="n">
        <f aca="false">COUNTIFS('Test Cases'!$B$2:$B$336,$A10,'Test Cases'!$K$2:$K$336,"Pass")</f>
        <v>0</v>
      </c>
      <c r="D10" s="13" t="n">
        <f aca="false">COUNTIFS('Test Cases'!$B$2:$B$336,$A10,'Test Cases'!$K$2:$K$336,"Fail")</f>
        <v>0</v>
      </c>
      <c r="E10" s="13" t="n">
        <f aca="false">COUNTIFS('Test Cases'!$B$2:$B$336,$A10,'Test Cases'!$K$2:$K$336,"Blocked")</f>
        <v>0</v>
      </c>
      <c r="F10" s="13" t="n">
        <f aca="false">COUNTIFS('Test Cases'!$B$2:$B$336,$A10,'Test Cases'!$K$2:$K$336,"N/A")</f>
        <v>0</v>
      </c>
      <c r="G10" s="13" t="n">
        <f aca="false">COUNTIFS('Test Cases'!$B$2:$B$336,$A10,'Test Cases'!$K$2:$K$336,"Not Run")</f>
        <v>19</v>
      </c>
      <c r="H10" s="14" t="n">
        <f aca="false">IFERROR((B10-G10-F10)/(B10-F10),0)</f>
        <v>0</v>
      </c>
      <c r="I10" s="14" t="n">
        <f aca="false">IFERROR(C10/(C10+D10),0)</f>
        <v>0</v>
      </c>
    </row>
    <row r="11" customFormat="false" ht="15" hidden="false" customHeight="true" outlineLevel="0" collapsed="false">
      <c r="A11" s="12" t="s">
        <v>46</v>
      </c>
      <c r="B11" s="13" t="n">
        <f aca="false">COUNTIF('Test Cases'!$B$2:$B$336,$A11)</f>
        <v>60</v>
      </c>
      <c r="C11" s="13" t="n">
        <f aca="false">COUNTIFS('Test Cases'!$B$2:$B$336,$A11,'Test Cases'!$K$2:$K$336,"Pass")</f>
        <v>0</v>
      </c>
      <c r="D11" s="13" t="n">
        <f aca="false">COUNTIFS('Test Cases'!$B$2:$B$336,$A11,'Test Cases'!$K$2:$K$336,"Fail")</f>
        <v>0</v>
      </c>
      <c r="E11" s="13" t="n">
        <f aca="false">COUNTIFS('Test Cases'!$B$2:$B$336,$A11,'Test Cases'!$K$2:$K$336,"Blocked")</f>
        <v>0</v>
      </c>
      <c r="F11" s="13" t="n">
        <f aca="false">COUNTIFS('Test Cases'!$B$2:$B$336,$A11,'Test Cases'!$K$2:$K$336,"N/A")</f>
        <v>0</v>
      </c>
      <c r="G11" s="13" t="n">
        <f aca="false">COUNTIFS('Test Cases'!$B$2:$B$336,$A11,'Test Cases'!$K$2:$K$336,"Not Run")</f>
        <v>60</v>
      </c>
      <c r="H11" s="14" t="n">
        <f aca="false">IFERROR((B11-G11-F11)/(B11-F11),0)</f>
        <v>0</v>
      </c>
      <c r="I11" s="14" t="n">
        <f aca="false">IFERROR(C11/(C11+D11),0)</f>
        <v>0</v>
      </c>
    </row>
    <row r="12" customFormat="false" ht="15" hidden="false" customHeight="true" outlineLevel="0" collapsed="false">
      <c r="A12" s="12" t="s">
        <v>47</v>
      </c>
      <c r="B12" s="13" t="n">
        <f aca="false">COUNTIF('Test Cases'!$B$2:$B$336,$A12)</f>
        <v>45</v>
      </c>
      <c r="C12" s="13" t="n">
        <f aca="false">COUNTIFS('Test Cases'!$B$2:$B$336,$A12,'Test Cases'!$K$2:$K$336,"Pass")</f>
        <v>0</v>
      </c>
      <c r="D12" s="13" t="n">
        <f aca="false">COUNTIFS('Test Cases'!$B$2:$B$336,$A12,'Test Cases'!$K$2:$K$336,"Fail")</f>
        <v>0</v>
      </c>
      <c r="E12" s="13" t="n">
        <f aca="false">COUNTIFS('Test Cases'!$B$2:$B$336,$A12,'Test Cases'!$K$2:$K$336,"Blocked")</f>
        <v>0</v>
      </c>
      <c r="F12" s="13" t="n">
        <f aca="false">COUNTIFS('Test Cases'!$B$2:$B$336,$A12,'Test Cases'!$K$2:$K$336,"N/A")</f>
        <v>0</v>
      </c>
      <c r="G12" s="13" t="n">
        <f aca="false">COUNTIFS('Test Cases'!$B$2:$B$336,$A12,'Test Cases'!$K$2:$K$336,"Not Run")</f>
        <v>45</v>
      </c>
      <c r="H12" s="14" t="n">
        <f aca="false">IFERROR((B12-G12-F12)/(B12-F12),0)</f>
        <v>0</v>
      </c>
      <c r="I12" s="14" t="n">
        <f aca="false">IFERROR(C12/(C12+D12),0)</f>
        <v>0</v>
      </c>
    </row>
    <row r="13" customFormat="false" ht="15" hidden="false" customHeight="true" outlineLevel="0" collapsed="false">
      <c r="A13" s="12" t="s">
        <v>48</v>
      </c>
      <c r="B13" s="13" t="n">
        <f aca="false">COUNTIF('Test Cases'!$B$2:$B$336,$A13)</f>
        <v>26</v>
      </c>
      <c r="C13" s="13" t="n">
        <f aca="false">COUNTIFS('Test Cases'!$B$2:$B$336,$A13,'Test Cases'!$K$2:$K$336,"Pass")</f>
        <v>0</v>
      </c>
      <c r="D13" s="13" t="n">
        <f aca="false">COUNTIFS('Test Cases'!$B$2:$B$336,$A13,'Test Cases'!$K$2:$K$336,"Fail")</f>
        <v>0</v>
      </c>
      <c r="E13" s="13" t="n">
        <f aca="false">COUNTIFS('Test Cases'!$B$2:$B$336,$A13,'Test Cases'!$K$2:$K$336,"Blocked")</f>
        <v>0</v>
      </c>
      <c r="F13" s="13" t="n">
        <f aca="false">COUNTIFS('Test Cases'!$B$2:$B$336,$A13,'Test Cases'!$K$2:$K$336,"N/A")</f>
        <v>0</v>
      </c>
      <c r="G13" s="13" t="n">
        <f aca="false">COUNTIFS('Test Cases'!$B$2:$B$336,$A13,'Test Cases'!$K$2:$K$336,"Not Run")</f>
        <v>26</v>
      </c>
      <c r="H13" s="14" t="n">
        <f aca="false">IFERROR((B13-G13-F13)/(B13-F13),0)</f>
        <v>0</v>
      </c>
      <c r="I13" s="14" t="n">
        <f aca="false">IFERROR(C13/(C13+D13),0)</f>
        <v>0</v>
      </c>
    </row>
    <row r="14" customFormat="false" ht="15" hidden="false" customHeight="true" outlineLevel="0" collapsed="false">
      <c r="A14" s="12" t="s">
        <v>49</v>
      </c>
      <c r="B14" s="13" t="n">
        <f aca="false">COUNTIF('Test Cases'!$B$2:$B$336,$A14)</f>
        <v>23</v>
      </c>
      <c r="C14" s="13" t="n">
        <f aca="false">COUNTIFS('Test Cases'!$B$2:$B$336,$A14,'Test Cases'!$K$2:$K$336,"Pass")</f>
        <v>0</v>
      </c>
      <c r="D14" s="13" t="n">
        <f aca="false">COUNTIFS('Test Cases'!$B$2:$B$336,$A14,'Test Cases'!$K$2:$K$336,"Fail")</f>
        <v>0</v>
      </c>
      <c r="E14" s="13" t="n">
        <f aca="false">COUNTIFS('Test Cases'!$B$2:$B$336,$A14,'Test Cases'!$K$2:$K$336,"Blocked")</f>
        <v>0</v>
      </c>
      <c r="F14" s="13" t="n">
        <f aca="false">COUNTIFS('Test Cases'!$B$2:$B$336,$A14,'Test Cases'!$K$2:$K$336,"N/A")</f>
        <v>0</v>
      </c>
      <c r="G14" s="13" t="n">
        <f aca="false">COUNTIFS('Test Cases'!$B$2:$B$336,$A14,'Test Cases'!$K$2:$K$336,"Not Run")</f>
        <v>23</v>
      </c>
      <c r="H14" s="14" t="n">
        <f aca="false">IFERROR((B14-G14-F14)/(B14-F14),0)</f>
        <v>0</v>
      </c>
      <c r="I14" s="14" t="n">
        <f aca="false">IFERROR(C14/(C14+D14),0)</f>
        <v>0</v>
      </c>
    </row>
    <row r="15" customFormat="false" ht="15" hidden="false" customHeight="true" outlineLevel="0" collapsed="false">
      <c r="A15" s="12" t="s">
        <v>50</v>
      </c>
      <c r="B15" s="13" t="n">
        <f aca="false">COUNTIF('Test Cases'!$B$2:$B$336,$A15)</f>
        <v>23</v>
      </c>
      <c r="C15" s="13" t="n">
        <f aca="false">COUNTIFS('Test Cases'!$B$2:$B$336,$A15,'Test Cases'!$K$2:$K$336,"Pass")</f>
        <v>0</v>
      </c>
      <c r="D15" s="13" t="n">
        <f aca="false">COUNTIFS('Test Cases'!$B$2:$B$336,$A15,'Test Cases'!$K$2:$K$336,"Fail")</f>
        <v>0</v>
      </c>
      <c r="E15" s="13" t="n">
        <f aca="false">COUNTIFS('Test Cases'!$B$2:$B$336,$A15,'Test Cases'!$K$2:$K$336,"Blocked")</f>
        <v>0</v>
      </c>
      <c r="F15" s="13" t="n">
        <f aca="false">COUNTIFS('Test Cases'!$B$2:$B$336,$A15,'Test Cases'!$K$2:$K$336,"N/A")</f>
        <v>0</v>
      </c>
      <c r="G15" s="13" t="n">
        <f aca="false">COUNTIFS('Test Cases'!$B$2:$B$336,$A15,'Test Cases'!$K$2:$K$336,"Not Run")</f>
        <v>23</v>
      </c>
      <c r="H15" s="14" t="n">
        <f aca="false">IFERROR((B15-G15-F15)/(B15-F15),0)</f>
        <v>0</v>
      </c>
      <c r="I15" s="14" t="n">
        <f aca="false">IFERROR(C15/(C15+D15),0)</f>
        <v>0</v>
      </c>
    </row>
    <row r="16" customFormat="false" ht="15" hidden="false" customHeight="true" outlineLevel="0" collapsed="false">
      <c r="A16" s="12" t="s">
        <v>51</v>
      </c>
      <c r="B16" s="13" t="n">
        <f aca="false">COUNTIF('Test Cases'!$B$2:$B$336,$A16)</f>
        <v>11</v>
      </c>
      <c r="C16" s="13" t="n">
        <f aca="false">COUNTIFS('Test Cases'!$B$2:$B$336,$A16,'Test Cases'!$K$2:$K$336,"Pass")</f>
        <v>0</v>
      </c>
      <c r="D16" s="13" t="n">
        <f aca="false">COUNTIFS('Test Cases'!$B$2:$B$336,$A16,'Test Cases'!$K$2:$K$336,"Fail")</f>
        <v>0</v>
      </c>
      <c r="E16" s="13" t="n">
        <f aca="false">COUNTIFS('Test Cases'!$B$2:$B$336,$A16,'Test Cases'!$K$2:$K$336,"Blocked")</f>
        <v>0</v>
      </c>
      <c r="F16" s="13" t="n">
        <f aca="false">COUNTIFS('Test Cases'!$B$2:$B$336,$A16,'Test Cases'!$K$2:$K$336,"N/A")</f>
        <v>0</v>
      </c>
      <c r="G16" s="13" t="n">
        <f aca="false">COUNTIFS('Test Cases'!$B$2:$B$336,$A16,'Test Cases'!$K$2:$K$336,"Not Run")</f>
        <v>11</v>
      </c>
      <c r="H16" s="14" t="n">
        <f aca="false">IFERROR((B16-G16-F16)/(B16-F16),0)</f>
        <v>0</v>
      </c>
      <c r="I16" s="14" t="n">
        <f aca="false">IFERROR(C16/(C16+D16),0)</f>
        <v>0</v>
      </c>
    </row>
    <row r="17" customFormat="false" ht="15" hidden="false" customHeight="true" outlineLevel="0" collapsed="false">
      <c r="A17" s="12" t="s">
        <v>52</v>
      </c>
      <c r="B17" s="13" t="n">
        <f aca="false">COUNTIF('Test Cases'!$B$2:$B$336,$A17)</f>
        <v>9</v>
      </c>
      <c r="C17" s="13" t="n">
        <f aca="false">COUNTIFS('Test Cases'!$B$2:$B$336,$A17,'Test Cases'!$K$2:$K$336,"Pass")</f>
        <v>0</v>
      </c>
      <c r="D17" s="13" t="n">
        <f aca="false">COUNTIFS('Test Cases'!$B$2:$B$336,$A17,'Test Cases'!$K$2:$K$336,"Fail")</f>
        <v>0</v>
      </c>
      <c r="E17" s="13" t="n">
        <f aca="false">COUNTIFS('Test Cases'!$B$2:$B$336,$A17,'Test Cases'!$K$2:$K$336,"Blocked")</f>
        <v>0</v>
      </c>
      <c r="F17" s="13" t="n">
        <f aca="false">COUNTIFS('Test Cases'!$B$2:$B$336,$A17,'Test Cases'!$K$2:$K$336,"N/A")</f>
        <v>0</v>
      </c>
      <c r="G17" s="13" t="n">
        <f aca="false">COUNTIFS('Test Cases'!$B$2:$B$336,$A17,'Test Cases'!$K$2:$K$336,"Not Run")</f>
        <v>9</v>
      </c>
      <c r="H17" s="14" t="n">
        <f aca="false">IFERROR((B17-G17-F17)/(B17-F17),0)</f>
        <v>0</v>
      </c>
      <c r="I17" s="14" t="n">
        <f aca="false">IFERROR(C17/(C17+D17),0)</f>
        <v>0</v>
      </c>
    </row>
    <row r="18" customFormat="false" ht="15" hidden="false" customHeight="true" outlineLevel="0" collapsed="false">
      <c r="A18" s="12" t="s">
        <v>53</v>
      </c>
      <c r="B18" s="13" t="n">
        <f aca="false">COUNTIF('Test Cases'!$B$2:$B$336,$A18)</f>
        <v>9</v>
      </c>
      <c r="C18" s="13" t="n">
        <f aca="false">COUNTIFS('Test Cases'!$B$2:$B$336,$A18,'Test Cases'!$K$2:$K$336,"Pass")</f>
        <v>0</v>
      </c>
      <c r="D18" s="13" t="n">
        <f aca="false">COUNTIFS('Test Cases'!$B$2:$B$336,$A18,'Test Cases'!$K$2:$K$336,"Fail")</f>
        <v>0</v>
      </c>
      <c r="E18" s="13" t="n">
        <f aca="false">COUNTIFS('Test Cases'!$B$2:$B$336,$A18,'Test Cases'!$K$2:$K$336,"Blocked")</f>
        <v>0</v>
      </c>
      <c r="F18" s="13" t="n">
        <f aca="false">COUNTIFS('Test Cases'!$B$2:$B$336,$A18,'Test Cases'!$K$2:$K$336,"N/A")</f>
        <v>0</v>
      </c>
      <c r="G18" s="13" t="n">
        <f aca="false">COUNTIFS('Test Cases'!$B$2:$B$336,$A18,'Test Cases'!$K$2:$K$336,"Not Run")</f>
        <v>9</v>
      </c>
      <c r="H18" s="14" t="n">
        <f aca="false">IFERROR((B18-G18-F18)/(B18-F18),0)</f>
        <v>0</v>
      </c>
      <c r="I18" s="14" t="n">
        <f aca="false">IFERROR(C18/(C18+D18),0)</f>
        <v>0</v>
      </c>
    </row>
    <row r="19" customFormat="false" ht="15" hidden="false" customHeight="true" outlineLevel="0" collapsed="false">
      <c r="A19" s="12" t="s">
        <v>54</v>
      </c>
      <c r="B19" s="13" t="n">
        <f aca="false">COUNTIF('Test Cases'!$B$2:$B$336,$A19)</f>
        <v>1</v>
      </c>
      <c r="C19" s="13" t="n">
        <f aca="false">COUNTIFS('Test Cases'!$B$2:$B$336,$A19,'Test Cases'!$K$2:$K$336,"Pass")</f>
        <v>0</v>
      </c>
      <c r="D19" s="13" t="n">
        <f aca="false">COUNTIFS('Test Cases'!$B$2:$B$336,$A19,'Test Cases'!$K$2:$K$336,"Fail")</f>
        <v>0</v>
      </c>
      <c r="E19" s="13" t="n">
        <f aca="false">COUNTIFS('Test Cases'!$B$2:$B$336,$A19,'Test Cases'!$K$2:$K$336,"Blocked")</f>
        <v>0</v>
      </c>
      <c r="F19" s="13" t="n">
        <f aca="false">COUNTIFS('Test Cases'!$B$2:$B$336,$A19,'Test Cases'!$K$2:$K$336,"N/A")</f>
        <v>0</v>
      </c>
      <c r="G19" s="13" t="n">
        <f aca="false">COUNTIFS('Test Cases'!$B$2:$B$336,$A19,'Test Cases'!$K$2:$K$336,"Not Run")</f>
        <v>1</v>
      </c>
      <c r="H19" s="14" t="n">
        <f aca="false">IFERROR((B19-G19-F19)/(B19-F19),0)</f>
        <v>0</v>
      </c>
      <c r="I19" s="14" t="n">
        <f aca="false">IFERROR(C19/(C19+D19),0)</f>
        <v>0</v>
      </c>
    </row>
    <row r="20" customFormat="false" ht="15" hidden="false" customHeight="true" outlineLevel="0" collapsed="false">
      <c r="A20" s="12" t="s">
        <v>55</v>
      </c>
      <c r="B20" s="13" t="n">
        <f aca="false">COUNTIF('Test Cases'!$B$2:$B$336,$A20)</f>
        <v>8</v>
      </c>
      <c r="C20" s="13" t="n">
        <f aca="false">COUNTIFS('Test Cases'!$B$2:$B$336,$A20,'Test Cases'!$K$2:$K$336,"Pass")</f>
        <v>0</v>
      </c>
      <c r="D20" s="13" t="n">
        <f aca="false">COUNTIFS('Test Cases'!$B$2:$B$336,$A20,'Test Cases'!$K$2:$K$336,"Fail")</f>
        <v>0</v>
      </c>
      <c r="E20" s="13" t="n">
        <f aca="false">COUNTIFS('Test Cases'!$B$2:$B$336,$A20,'Test Cases'!$K$2:$K$336,"Blocked")</f>
        <v>0</v>
      </c>
      <c r="F20" s="13" t="n">
        <f aca="false">COUNTIFS('Test Cases'!$B$2:$B$336,$A20,'Test Cases'!$K$2:$K$336,"N/A")</f>
        <v>0</v>
      </c>
      <c r="G20" s="13" t="n">
        <f aca="false">COUNTIFS('Test Cases'!$B$2:$B$336,$A20,'Test Cases'!$K$2:$K$336,"Not Run")</f>
        <v>8</v>
      </c>
      <c r="H20" s="14" t="n">
        <f aca="false">IFERROR((B20-G20-F20)/(B20-F20),0)</f>
        <v>0</v>
      </c>
      <c r="I20" s="14" t="n">
        <f aca="false">IFERROR(C20/(C20+D20),0)</f>
        <v>0</v>
      </c>
    </row>
    <row r="21" customFormat="false" ht="15" hidden="false" customHeight="true" outlineLevel="0" collapsed="false">
      <c r="A21" s="12" t="s">
        <v>56</v>
      </c>
      <c r="B21" s="13" t="n">
        <f aca="false">COUNTIF('Test Cases'!$B$2:$B$336,$A21)</f>
        <v>11</v>
      </c>
      <c r="C21" s="13" t="n">
        <f aca="false">COUNTIFS('Test Cases'!$B$2:$B$336,$A21,'Test Cases'!$K$2:$K$336,"Pass")</f>
        <v>0</v>
      </c>
      <c r="D21" s="13" t="n">
        <f aca="false">COUNTIFS('Test Cases'!$B$2:$B$336,$A21,'Test Cases'!$K$2:$K$336,"Fail")</f>
        <v>0</v>
      </c>
      <c r="E21" s="13" t="n">
        <f aca="false">COUNTIFS('Test Cases'!$B$2:$B$336,$A21,'Test Cases'!$K$2:$K$336,"Blocked")</f>
        <v>0</v>
      </c>
      <c r="F21" s="13" t="n">
        <f aca="false">COUNTIFS('Test Cases'!$B$2:$B$336,$A21,'Test Cases'!$K$2:$K$336,"N/A")</f>
        <v>0</v>
      </c>
      <c r="G21" s="13" t="n">
        <f aca="false">COUNTIFS('Test Cases'!$B$2:$B$336,$A21,'Test Cases'!$K$2:$K$336,"Not Run")</f>
        <v>11</v>
      </c>
      <c r="H21" s="14" t="n">
        <f aca="false">IFERROR((B21-G21-F21)/(B21-F21),0)</f>
        <v>0</v>
      </c>
      <c r="I21" s="14" t="n">
        <f aca="false">IFERROR(C21/(C21+D21),0)</f>
        <v>0</v>
      </c>
    </row>
    <row r="22" customFormat="false" ht="15" hidden="false" customHeight="true" outlineLevel="0" collapsed="false">
      <c r="A22" s="12" t="s">
        <v>57</v>
      </c>
      <c r="B22" s="13" t="n">
        <f aca="false">COUNTIF('Test Cases'!$B$2:$B$336,$A22)</f>
        <v>8</v>
      </c>
      <c r="C22" s="13" t="n">
        <f aca="false">COUNTIFS('Test Cases'!$B$2:$B$336,$A22,'Test Cases'!$K$2:$K$336,"Pass")</f>
        <v>0</v>
      </c>
      <c r="D22" s="13" t="n">
        <f aca="false">COUNTIFS('Test Cases'!$B$2:$B$336,$A22,'Test Cases'!$K$2:$K$336,"Fail")</f>
        <v>0</v>
      </c>
      <c r="E22" s="13" t="n">
        <f aca="false">COUNTIFS('Test Cases'!$B$2:$B$336,$A22,'Test Cases'!$K$2:$K$336,"Blocked")</f>
        <v>0</v>
      </c>
      <c r="F22" s="13" t="n">
        <f aca="false">COUNTIFS('Test Cases'!$B$2:$B$336,$A22,'Test Cases'!$K$2:$K$336,"N/A")</f>
        <v>0</v>
      </c>
      <c r="G22" s="13" t="n">
        <f aca="false">COUNTIFS('Test Cases'!$B$2:$B$336,$A22,'Test Cases'!$K$2:$K$336,"Not Run")</f>
        <v>8</v>
      </c>
      <c r="H22" s="14" t="n">
        <f aca="false">IFERROR((B22-G22-F22)/(B22-F22),0)</f>
        <v>0</v>
      </c>
      <c r="I22" s="14" t="n">
        <f aca="false">IFERROR(C22/(C22+D22),0)</f>
        <v>0</v>
      </c>
    </row>
    <row r="23" customFormat="false" ht="15" hidden="false" customHeight="true" outlineLevel="0" collapsed="false">
      <c r="A23" s="15" t="s">
        <v>58</v>
      </c>
      <c r="B23" s="16" t="n">
        <f aca="false">SUM(B5:B22)</f>
        <v>335</v>
      </c>
      <c r="C23" s="16" t="n">
        <f aca="false">SUM(C5:C22)</f>
        <v>0</v>
      </c>
      <c r="D23" s="16" t="n">
        <f aca="false">SUM(D5:D22)</f>
        <v>0</v>
      </c>
      <c r="E23" s="16" t="n">
        <f aca="false">SUM(E5:E22)</f>
        <v>0</v>
      </c>
      <c r="F23" s="16" t="n">
        <f aca="false">SUM(F5:F22)</f>
        <v>0</v>
      </c>
      <c r="G23" s="16" t="n">
        <f aca="false">SUM(G5:G22)</f>
        <v>335</v>
      </c>
      <c r="H23" s="17" t="n">
        <f aca="false">IFERROR((B23-G23-F23)/(B23-F23),0)</f>
        <v>0</v>
      </c>
      <c r="I23" s="17" t="n">
        <f aca="false">IFERROR(C23/(C23+D23),0)</f>
        <v>0</v>
      </c>
    </row>
    <row r="26" customFormat="false" ht="15" hidden="false" customHeight="true" outlineLevel="0" collapsed="false">
      <c r="A26" s="6" t="s">
        <v>59</v>
      </c>
    </row>
    <row r="27" customFormat="false" ht="15" hidden="false" customHeight="true" outlineLevel="0" collapsed="false">
      <c r="A27" s="8" t="s">
        <v>60</v>
      </c>
      <c r="B27" s="8" t="n">
        <f aca="false">COUNTIF('Test Cases'!$E$2:$E$336,"High")</f>
        <v>177</v>
      </c>
    </row>
    <row r="28" customFormat="false" ht="15" hidden="false" customHeight="true" outlineLevel="0" collapsed="false">
      <c r="A28" s="8" t="s">
        <v>61</v>
      </c>
      <c r="B28" s="8" t="n">
        <f aca="false">COUNTIFS('Test Cases'!$E$2:$E$336,"High",'Test Cases'!$K$2:$K$336,"Fail")</f>
        <v>0</v>
      </c>
    </row>
    <row r="29" customFormat="false" ht="15" hidden="false" customHeight="true" outlineLevel="0" collapsed="false">
      <c r="A29" s="8" t="s">
        <v>62</v>
      </c>
      <c r="B29" s="8" t="n">
        <f aca="false">COUNTIFS('Test Cases'!$E$2:$E$336,"High",'Test Cases'!$K$2:$K$336,"Not Run")</f>
        <v>177</v>
      </c>
    </row>
    <row r="31" customFormat="false" ht="15" hidden="false" customHeight="true" outlineLevel="0" collapsed="false">
      <c r="A31" s="6" t="s">
        <v>63</v>
      </c>
    </row>
    <row r="32" customFormat="false" ht="15" hidden="false" customHeight="true" outlineLevel="0" collapsed="false">
      <c r="A32" s="8" t="s">
        <v>64</v>
      </c>
      <c r="B32" s="8" t="n">
        <f aca="false">COUNTIF('Defect Log'!$I$6:$I$500,"New")+COUNTIF('Defect Log'!$I$6:$I$500,"In Progress")+COUNTIF('Defect Log'!$I$6:$I$500,"Reopened")+COUNTIF('Defect Log'!$I$6:$I$500,"Retest Failed")</f>
        <v>0</v>
      </c>
    </row>
    <row r="33" customFormat="false" ht="15" hidden="false" customHeight="true" outlineLevel="0" collapsed="false">
      <c r="A33" s="8" t="s">
        <v>65</v>
      </c>
      <c r="B33" s="8" t="n">
        <f aca="false">COUNTIFS('Defect Log'!$H$6:$H$500,"Critical",'Defect Log'!$I$6:$I$500,"&lt;&gt;Closed",'Defect Log'!$I$6:$I$500,"&lt;&gt;Fixed",'Defect Log'!$I$6:$I$500,"&lt;&gt;")+COUNTIFS('Defect Log'!$H$6:$H$500,"High",'Defect Log'!$I$6:$I$500,"&lt;&gt;Closed",'Defect Log'!$I$6:$I$500,"&lt;&gt;Fixed",'Defect Log'!$I$6:$I$500,"&lt;&gt;")</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3" min="2" style="1" width="20"/>
    <col collapsed="false" customWidth="true" hidden="false" outlineLevel="0" max="4" min="4" style="1" width="12"/>
    <col collapsed="false" customWidth="true" hidden="false" outlineLevel="0" max="5" min="5" style="1" width="10"/>
    <col collapsed="false" customWidth="true" hidden="false" outlineLevel="0" max="6" min="6" style="1" width="18"/>
    <col collapsed="false" customWidth="true" hidden="false" outlineLevel="0" max="7" min="7" style="1" width="34"/>
    <col collapsed="false" customWidth="true" hidden="false" outlineLevel="0" max="8" min="8" style="1" width="62"/>
    <col collapsed="false" customWidth="true" hidden="false" outlineLevel="0" max="9" min="9" style="1" width="58"/>
    <col collapsed="false" customWidth="true" hidden="false" outlineLevel="0" max="10" min="10" style="1" width="40"/>
    <col collapsed="false" customWidth="true" hidden="false" outlineLevel="0" max="11" min="11" style="1" width="12"/>
    <col collapsed="false" customWidth="true" hidden="false" outlineLevel="0" max="12" min="12" style="1" width="14"/>
    <col collapsed="false" customWidth="true" hidden="false" outlineLevel="0" max="13" min="13" style="1" width="13"/>
    <col collapsed="false" customWidth="true" hidden="false" outlineLevel="0" max="14" min="14" style="1" width="12"/>
    <col collapsed="false" customWidth="true" hidden="false" outlineLevel="0" max="15" min="15" style="1" width="30"/>
  </cols>
  <sheetData>
    <row r="1" customFormat="false" ht="30" hidden="false" customHeight="true" outlineLevel="0" collapsed="false">
      <c r="A1" s="11" t="s">
        <v>66</v>
      </c>
      <c r="B1" s="11" t="s">
        <v>31</v>
      </c>
      <c r="C1" s="11" t="s">
        <v>67</v>
      </c>
      <c r="D1" s="11" t="s">
        <v>68</v>
      </c>
      <c r="E1" s="11" t="s">
        <v>69</v>
      </c>
      <c r="F1" s="11" t="s">
        <v>70</v>
      </c>
      <c r="G1" s="11" t="s">
        <v>71</v>
      </c>
      <c r="H1" s="11" t="s">
        <v>72</v>
      </c>
      <c r="I1" s="11" t="s">
        <v>73</v>
      </c>
      <c r="J1" s="11" t="s">
        <v>74</v>
      </c>
      <c r="K1" s="11" t="s">
        <v>75</v>
      </c>
      <c r="L1" s="11" t="s">
        <v>76</v>
      </c>
      <c r="M1" s="11" t="s">
        <v>77</v>
      </c>
      <c r="N1" s="11" t="s">
        <v>78</v>
      </c>
      <c r="O1" s="11" t="s">
        <v>79</v>
      </c>
    </row>
    <row r="2" customFormat="false" ht="15" hidden="false" customHeight="true" outlineLevel="0" collapsed="false">
      <c r="A2" s="18" t="s">
        <v>80</v>
      </c>
      <c r="B2" s="18" t="s">
        <v>40</v>
      </c>
      <c r="C2" s="18" t="s">
        <v>81</v>
      </c>
      <c r="D2" s="18" t="s">
        <v>82</v>
      </c>
      <c r="E2" s="18" t="s">
        <v>83</v>
      </c>
      <c r="F2" s="18" t="s">
        <v>84</v>
      </c>
      <c r="G2" s="18" t="s">
        <v>85</v>
      </c>
      <c r="H2" s="18" t="s">
        <v>86</v>
      </c>
      <c r="I2" s="18" t="s">
        <v>87</v>
      </c>
      <c r="J2" s="19"/>
      <c r="K2" s="19" t="s">
        <v>37</v>
      </c>
      <c r="L2" s="19"/>
      <c r="M2" s="20"/>
      <c r="N2" s="19"/>
      <c r="O2" s="19"/>
    </row>
    <row r="3" customFormat="false" ht="15" hidden="false" customHeight="true" outlineLevel="0" collapsed="false">
      <c r="A3" s="18" t="s">
        <v>88</v>
      </c>
      <c r="B3" s="18" t="s">
        <v>40</v>
      </c>
      <c r="C3" s="18" t="s">
        <v>81</v>
      </c>
      <c r="D3" s="18" t="s">
        <v>82</v>
      </c>
      <c r="E3" s="18" t="s">
        <v>83</v>
      </c>
      <c r="F3" s="18" t="s">
        <v>84</v>
      </c>
      <c r="G3" s="18" t="s">
        <v>85</v>
      </c>
      <c r="H3" s="18" t="s">
        <v>89</v>
      </c>
      <c r="I3" s="18" t="s">
        <v>90</v>
      </c>
      <c r="J3" s="19"/>
      <c r="K3" s="19" t="s">
        <v>37</v>
      </c>
      <c r="L3" s="19"/>
      <c r="M3" s="20"/>
      <c r="N3" s="19"/>
      <c r="O3" s="19"/>
    </row>
    <row r="4" customFormat="false" ht="15" hidden="false" customHeight="true" outlineLevel="0" collapsed="false">
      <c r="A4" s="18" t="s">
        <v>91</v>
      </c>
      <c r="B4" s="18" t="s">
        <v>40</v>
      </c>
      <c r="C4" s="18" t="s">
        <v>92</v>
      </c>
      <c r="D4" s="18" t="s">
        <v>93</v>
      </c>
      <c r="E4" s="18" t="s">
        <v>83</v>
      </c>
      <c r="F4" s="18" t="s">
        <v>94</v>
      </c>
      <c r="G4" s="18" t="s">
        <v>95</v>
      </c>
      <c r="H4" s="18" t="s">
        <v>96</v>
      </c>
      <c r="I4" s="18" t="s">
        <v>97</v>
      </c>
      <c r="J4" s="19"/>
      <c r="K4" s="19" t="s">
        <v>37</v>
      </c>
      <c r="L4" s="19"/>
      <c r="M4" s="20"/>
      <c r="N4" s="19"/>
      <c r="O4" s="19"/>
    </row>
    <row r="5" customFormat="false" ht="15" hidden="false" customHeight="true" outlineLevel="0" collapsed="false">
      <c r="A5" s="18" t="s">
        <v>98</v>
      </c>
      <c r="B5" s="18" t="s">
        <v>40</v>
      </c>
      <c r="C5" s="18" t="s">
        <v>92</v>
      </c>
      <c r="D5" s="18" t="s">
        <v>93</v>
      </c>
      <c r="E5" s="18" t="s">
        <v>99</v>
      </c>
      <c r="F5" s="18" t="s">
        <v>94</v>
      </c>
      <c r="G5" s="18" t="s">
        <v>95</v>
      </c>
      <c r="H5" s="18" t="s">
        <v>100</v>
      </c>
      <c r="I5" s="18" t="s">
        <v>101</v>
      </c>
      <c r="J5" s="19"/>
      <c r="K5" s="19" t="s">
        <v>37</v>
      </c>
      <c r="L5" s="19"/>
      <c r="M5" s="20"/>
      <c r="N5" s="19"/>
      <c r="O5" s="19"/>
    </row>
    <row r="6" customFormat="false" ht="23.25" hidden="false" customHeight="true" outlineLevel="0" collapsed="false">
      <c r="A6" s="18" t="s">
        <v>102</v>
      </c>
      <c r="B6" s="18" t="s">
        <v>40</v>
      </c>
      <c r="C6" s="18" t="s">
        <v>92</v>
      </c>
      <c r="D6" s="18" t="s">
        <v>82</v>
      </c>
      <c r="E6" s="18" t="s">
        <v>83</v>
      </c>
      <c r="F6" s="18" t="s">
        <v>84</v>
      </c>
      <c r="G6" s="18"/>
      <c r="H6" s="18" t="s">
        <v>103</v>
      </c>
      <c r="I6" s="18" t="s">
        <v>104</v>
      </c>
      <c r="J6" s="19"/>
      <c r="K6" s="19" t="s">
        <v>37</v>
      </c>
      <c r="L6" s="19"/>
      <c r="M6" s="20"/>
      <c r="N6" s="19"/>
      <c r="O6" s="19"/>
    </row>
    <row r="7" customFormat="false" ht="15" hidden="false" customHeight="true" outlineLevel="0" collapsed="false">
      <c r="A7" s="18" t="s">
        <v>105</v>
      </c>
      <c r="B7" s="18" t="s">
        <v>40</v>
      </c>
      <c r="C7" s="18" t="s">
        <v>92</v>
      </c>
      <c r="D7" s="18" t="s">
        <v>106</v>
      </c>
      <c r="E7" s="18" t="s">
        <v>99</v>
      </c>
      <c r="F7" s="18" t="s">
        <v>84</v>
      </c>
      <c r="G7" s="18"/>
      <c r="H7" s="18" t="s">
        <v>107</v>
      </c>
      <c r="I7" s="18" t="s">
        <v>108</v>
      </c>
      <c r="J7" s="19"/>
      <c r="K7" s="19" t="s">
        <v>37</v>
      </c>
      <c r="L7" s="19"/>
      <c r="M7" s="20"/>
      <c r="N7" s="19"/>
      <c r="O7" s="19"/>
    </row>
    <row r="8" customFormat="false" ht="15" hidden="false" customHeight="true" outlineLevel="0" collapsed="false">
      <c r="A8" s="18" t="s">
        <v>109</v>
      </c>
      <c r="B8" s="18" t="s">
        <v>40</v>
      </c>
      <c r="C8" s="18" t="s">
        <v>92</v>
      </c>
      <c r="D8" s="18" t="s">
        <v>110</v>
      </c>
      <c r="E8" s="18" t="s">
        <v>111</v>
      </c>
      <c r="F8" s="18" t="s">
        <v>84</v>
      </c>
      <c r="G8" s="18"/>
      <c r="H8" s="18" t="s">
        <v>112</v>
      </c>
      <c r="I8" s="18" t="s">
        <v>113</v>
      </c>
      <c r="J8" s="19"/>
      <c r="K8" s="19" t="s">
        <v>37</v>
      </c>
      <c r="L8" s="19"/>
      <c r="M8" s="20"/>
      <c r="N8" s="19"/>
      <c r="O8" s="19"/>
    </row>
    <row r="9" customFormat="false" ht="15" hidden="false" customHeight="true" outlineLevel="0" collapsed="false">
      <c r="A9" s="18" t="s">
        <v>114</v>
      </c>
      <c r="B9" s="18" t="s">
        <v>40</v>
      </c>
      <c r="C9" s="18" t="s">
        <v>115</v>
      </c>
      <c r="D9" s="18" t="s">
        <v>93</v>
      </c>
      <c r="E9" s="18" t="s">
        <v>83</v>
      </c>
      <c r="F9" s="18" t="s">
        <v>94</v>
      </c>
      <c r="G9" s="18" t="s">
        <v>116</v>
      </c>
      <c r="H9" s="18" t="s">
        <v>117</v>
      </c>
      <c r="I9" s="18" t="s">
        <v>118</v>
      </c>
      <c r="J9" s="19"/>
      <c r="K9" s="19" t="s">
        <v>37</v>
      </c>
      <c r="L9" s="19"/>
      <c r="M9" s="20"/>
      <c r="N9" s="19"/>
      <c r="O9" s="19"/>
    </row>
    <row r="10" customFormat="false" ht="15" hidden="false" customHeight="true" outlineLevel="0" collapsed="false">
      <c r="A10" s="18" t="s">
        <v>119</v>
      </c>
      <c r="B10" s="18" t="s">
        <v>40</v>
      </c>
      <c r="C10" s="18" t="s">
        <v>115</v>
      </c>
      <c r="D10" s="18" t="s">
        <v>82</v>
      </c>
      <c r="E10" s="18" t="s">
        <v>99</v>
      </c>
      <c r="F10" s="18" t="s">
        <v>94</v>
      </c>
      <c r="G10" s="18" t="s">
        <v>116</v>
      </c>
      <c r="H10" s="18" t="s">
        <v>120</v>
      </c>
      <c r="I10" s="18" t="s">
        <v>121</v>
      </c>
      <c r="J10" s="19"/>
      <c r="K10" s="19" t="s">
        <v>37</v>
      </c>
      <c r="L10" s="19"/>
      <c r="M10" s="20"/>
      <c r="N10" s="19"/>
      <c r="O10" s="19"/>
    </row>
    <row r="11" customFormat="false" ht="15" hidden="false" customHeight="true" outlineLevel="0" collapsed="false">
      <c r="A11" s="18" t="s">
        <v>122</v>
      </c>
      <c r="B11" s="18" t="s">
        <v>40</v>
      </c>
      <c r="C11" s="18" t="s">
        <v>115</v>
      </c>
      <c r="D11" s="18" t="s">
        <v>82</v>
      </c>
      <c r="E11" s="18" t="s">
        <v>99</v>
      </c>
      <c r="F11" s="18" t="s">
        <v>94</v>
      </c>
      <c r="G11" s="18" t="s">
        <v>116</v>
      </c>
      <c r="H11" s="18" t="s">
        <v>123</v>
      </c>
      <c r="I11" s="18" t="s">
        <v>124</v>
      </c>
      <c r="J11" s="19"/>
      <c r="K11" s="19" t="s">
        <v>37</v>
      </c>
      <c r="L11" s="19"/>
      <c r="M11" s="20"/>
      <c r="N11" s="19"/>
      <c r="O11" s="19"/>
    </row>
    <row r="12" customFormat="false" ht="15" hidden="false" customHeight="true" outlineLevel="0" collapsed="false">
      <c r="A12" s="18" t="s">
        <v>125</v>
      </c>
      <c r="B12" s="18" t="s">
        <v>40</v>
      </c>
      <c r="C12" s="18" t="s">
        <v>115</v>
      </c>
      <c r="D12" s="18" t="s">
        <v>82</v>
      </c>
      <c r="E12" s="18" t="s">
        <v>99</v>
      </c>
      <c r="F12" s="18" t="s">
        <v>94</v>
      </c>
      <c r="G12" s="18" t="s">
        <v>116</v>
      </c>
      <c r="H12" s="18" t="s">
        <v>126</v>
      </c>
      <c r="I12" s="18" t="s">
        <v>127</v>
      </c>
      <c r="J12" s="19"/>
      <c r="K12" s="19" t="s">
        <v>37</v>
      </c>
      <c r="L12" s="19"/>
      <c r="M12" s="20"/>
      <c r="N12" s="19"/>
      <c r="O12" s="19"/>
    </row>
    <row r="13" customFormat="false" ht="15" hidden="false" customHeight="true" outlineLevel="0" collapsed="false">
      <c r="A13" s="18" t="s">
        <v>128</v>
      </c>
      <c r="B13" s="18" t="s">
        <v>40</v>
      </c>
      <c r="C13" s="18" t="s">
        <v>115</v>
      </c>
      <c r="D13" s="18" t="s">
        <v>93</v>
      </c>
      <c r="E13" s="18" t="s">
        <v>83</v>
      </c>
      <c r="F13" s="18" t="s">
        <v>94</v>
      </c>
      <c r="G13" s="18" t="s">
        <v>116</v>
      </c>
      <c r="H13" s="18" t="s">
        <v>129</v>
      </c>
      <c r="I13" s="18" t="s">
        <v>130</v>
      </c>
      <c r="J13" s="19"/>
      <c r="K13" s="19" t="s">
        <v>37</v>
      </c>
      <c r="L13" s="19"/>
      <c r="M13" s="20"/>
      <c r="N13" s="19"/>
      <c r="O13" s="19"/>
    </row>
    <row r="14" customFormat="false" ht="23.25" hidden="false" customHeight="true" outlineLevel="0" collapsed="false">
      <c r="A14" s="18" t="s">
        <v>131</v>
      </c>
      <c r="B14" s="18" t="s">
        <v>40</v>
      </c>
      <c r="C14" s="18" t="s">
        <v>92</v>
      </c>
      <c r="D14" s="18" t="s">
        <v>132</v>
      </c>
      <c r="E14" s="18" t="s">
        <v>83</v>
      </c>
      <c r="F14" s="18" t="s">
        <v>133</v>
      </c>
      <c r="G14" s="18" t="s">
        <v>134</v>
      </c>
      <c r="H14" s="18" t="s">
        <v>135</v>
      </c>
      <c r="I14" s="18" t="s">
        <v>136</v>
      </c>
      <c r="J14" s="19"/>
      <c r="K14" s="19" t="s">
        <v>37</v>
      </c>
      <c r="L14" s="19"/>
      <c r="M14" s="20"/>
      <c r="N14" s="19"/>
      <c r="O14" s="19"/>
    </row>
    <row r="15" customFormat="false" ht="23.25" hidden="false" customHeight="true" outlineLevel="0" collapsed="false">
      <c r="A15" s="18" t="s">
        <v>137</v>
      </c>
      <c r="B15" s="18" t="s">
        <v>40</v>
      </c>
      <c r="C15" s="18" t="s">
        <v>92</v>
      </c>
      <c r="D15" s="18" t="s">
        <v>132</v>
      </c>
      <c r="E15" s="18" t="s">
        <v>83</v>
      </c>
      <c r="F15" s="18" t="s">
        <v>133</v>
      </c>
      <c r="G15" s="18" t="s">
        <v>138</v>
      </c>
      <c r="H15" s="18" t="s">
        <v>139</v>
      </c>
      <c r="I15" s="18" t="s">
        <v>140</v>
      </c>
      <c r="J15" s="19"/>
      <c r="K15" s="19" t="s">
        <v>37</v>
      </c>
      <c r="L15" s="19"/>
      <c r="M15" s="20"/>
      <c r="N15" s="19"/>
      <c r="O15" s="19"/>
    </row>
    <row r="16" customFormat="false" ht="23.25" hidden="false" customHeight="true" outlineLevel="0" collapsed="false">
      <c r="A16" s="18" t="s">
        <v>141</v>
      </c>
      <c r="B16" s="18" t="s">
        <v>40</v>
      </c>
      <c r="C16" s="18" t="s">
        <v>92</v>
      </c>
      <c r="D16" s="18" t="s">
        <v>93</v>
      </c>
      <c r="E16" s="18" t="s">
        <v>83</v>
      </c>
      <c r="F16" s="18" t="s">
        <v>133</v>
      </c>
      <c r="G16" s="18" t="s">
        <v>142</v>
      </c>
      <c r="H16" s="18" t="s">
        <v>143</v>
      </c>
      <c r="I16" s="18" t="s">
        <v>144</v>
      </c>
      <c r="J16" s="19"/>
      <c r="K16" s="19" t="s">
        <v>37</v>
      </c>
      <c r="L16" s="19"/>
      <c r="M16" s="20"/>
      <c r="N16" s="19"/>
      <c r="O16" s="19"/>
    </row>
    <row r="17" customFormat="false" ht="15" hidden="false" customHeight="true" outlineLevel="0" collapsed="false">
      <c r="A17" s="18" t="s">
        <v>145</v>
      </c>
      <c r="B17" s="18" t="s">
        <v>40</v>
      </c>
      <c r="C17" s="18" t="s">
        <v>146</v>
      </c>
      <c r="D17" s="18" t="s">
        <v>110</v>
      </c>
      <c r="E17" s="18" t="s">
        <v>99</v>
      </c>
      <c r="F17" s="18" t="s">
        <v>94</v>
      </c>
      <c r="G17" s="18" t="s">
        <v>116</v>
      </c>
      <c r="H17" s="18" t="s">
        <v>147</v>
      </c>
      <c r="I17" s="18" t="s">
        <v>148</v>
      </c>
      <c r="J17" s="19"/>
      <c r="K17" s="19" t="s">
        <v>37</v>
      </c>
      <c r="L17" s="19"/>
      <c r="M17" s="20"/>
      <c r="N17" s="19"/>
      <c r="O17" s="19"/>
    </row>
    <row r="18" customFormat="false" ht="34.5" hidden="false" customHeight="true" outlineLevel="0" collapsed="false">
      <c r="A18" s="18" t="s">
        <v>149</v>
      </c>
      <c r="B18" s="18" t="s">
        <v>40</v>
      </c>
      <c r="C18" s="18" t="s">
        <v>146</v>
      </c>
      <c r="D18" s="18" t="s">
        <v>93</v>
      </c>
      <c r="E18" s="18" t="s">
        <v>83</v>
      </c>
      <c r="F18" s="18" t="s">
        <v>94</v>
      </c>
      <c r="G18" s="18" t="s">
        <v>116</v>
      </c>
      <c r="H18" s="18" t="s">
        <v>150</v>
      </c>
      <c r="I18" s="18" t="s">
        <v>151</v>
      </c>
      <c r="J18" s="19"/>
      <c r="K18" s="19" t="s">
        <v>37</v>
      </c>
      <c r="L18" s="19"/>
      <c r="M18" s="20"/>
      <c r="N18" s="19"/>
      <c r="O18" s="19"/>
    </row>
    <row r="19" customFormat="false" ht="15" hidden="false" customHeight="true" outlineLevel="0" collapsed="false">
      <c r="A19" s="18" t="s">
        <v>152</v>
      </c>
      <c r="B19" s="18" t="s">
        <v>40</v>
      </c>
      <c r="C19" s="18" t="s">
        <v>146</v>
      </c>
      <c r="D19" s="18" t="s">
        <v>93</v>
      </c>
      <c r="E19" s="18" t="s">
        <v>111</v>
      </c>
      <c r="F19" s="18" t="s">
        <v>94</v>
      </c>
      <c r="G19" s="18" t="s">
        <v>116</v>
      </c>
      <c r="H19" s="18" t="s">
        <v>153</v>
      </c>
      <c r="I19" s="18" t="s">
        <v>154</v>
      </c>
      <c r="J19" s="19"/>
      <c r="K19" s="19" t="s">
        <v>37</v>
      </c>
      <c r="L19" s="19"/>
      <c r="M19" s="20"/>
      <c r="N19" s="19"/>
      <c r="O19" s="19"/>
    </row>
    <row r="20" customFormat="false" ht="23.25" hidden="false" customHeight="true" outlineLevel="0" collapsed="false">
      <c r="A20" s="18" t="s">
        <v>155</v>
      </c>
      <c r="B20" s="18" t="s">
        <v>40</v>
      </c>
      <c r="C20" s="18" t="s">
        <v>146</v>
      </c>
      <c r="D20" s="18" t="s">
        <v>110</v>
      </c>
      <c r="E20" s="18" t="s">
        <v>111</v>
      </c>
      <c r="F20" s="18" t="s">
        <v>94</v>
      </c>
      <c r="G20" s="18" t="s">
        <v>116</v>
      </c>
      <c r="H20" s="18" t="s">
        <v>156</v>
      </c>
      <c r="I20" s="18" t="s">
        <v>157</v>
      </c>
      <c r="J20" s="19"/>
      <c r="K20" s="19" t="s">
        <v>37</v>
      </c>
      <c r="L20" s="19"/>
      <c r="M20" s="20"/>
      <c r="N20" s="19"/>
      <c r="O20" s="19"/>
    </row>
    <row r="21" customFormat="false" ht="15" hidden="false" customHeight="true" outlineLevel="0" collapsed="false">
      <c r="A21" s="18" t="s">
        <v>158</v>
      </c>
      <c r="B21" s="18" t="s">
        <v>40</v>
      </c>
      <c r="C21" s="18" t="s">
        <v>146</v>
      </c>
      <c r="D21" s="18" t="s">
        <v>110</v>
      </c>
      <c r="E21" s="18" t="s">
        <v>99</v>
      </c>
      <c r="F21" s="18" t="s">
        <v>94</v>
      </c>
      <c r="G21" s="18" t="s">
        <v>116</v>
      </c>
      <c r="H21" s="18" t="s">
        <v>159</v>
      </c>
      <c r="I21" s="18" t="s">
        <v>160</v>
      </c>
      <c r="J21" s="19"/>
      <c r="K21" s="19" t="s">
        <v>37</v>
      </c>
      <c r="L21" s="19"/>
      <c r="M21" s="20"/>
      <c r="N21" s="19"/>
      <c r="O21" s="19"/>
    </row>
    <row r="22" customFormat="false" ht="15" hidden="false" customHeight="true" outlineLevel="0" collapsed="false">
      <c r="A22" s="18" t="s">
        <v>161</v>
      </c>
      <c r="B22" s="18" t="s">
        <v>40</v>
      </c>
      <c r="C22" s="18" t="s">
        <v>146</v>
      </c>
      <c r="D22" s="18" t="s">
        <v>82</v>
      </c>
      <c r="E22" s="18" t="s">
        <v>111</v>
      </c>
      <c r="F22" s="18" t="s">
        <v>94</v>
      </c>
      <c r="G22" s="18" t="s">
        <v>116</v>
      </c>
      <c r="H22" s="18" t="s">
        <v>162</v>
      </c>
      <c r="I22" s="18" t="s">
        <v>163</v>
      </c>
      <c r="J22" s="19"/>
      <c r="K22" s="19" t="s">
        <v>37</v>
      </c>
      <c r="L22" s="19"/>
      <c r="M22" s="20"/>
      <c r="N22" s="19"/>
      <c r="O22" s="19"/>
    </row>
    <row r="23" customFormat="false" ht="23.25" hidden="false" customHeight="true" outlineLevel="0" collapsed="false">
      <c r="A23" s="18" t="s">
        <v>164</v>
      </c>
      <c r="B23" s="18" t="s">
        <v>40</v>
      </c>
      <c r="C23" s="18" t="s">
        <v>146</v>
      </c>
      <c r="D23" s="18" t="s">
        <v>93</v>
      </c>
      <c r="E23" s="18" t="s">
        <v>99</v>
      </c>
      <c r="F23" s="18" t="s">
        <v>94</v>
      </c>
      <c r="G23" s="18" t="s">
        <v>116</v>
      </c>
      <c r="H23" s="18" t="s">
        <v>165</v>
      </c>
      <c r="I23" s="18" t="s">
        <v>166</v>
      </c>
      <c r="J23" s="19"/>
      <c r="K23" s="19" t="s">
        <v>37</v>
      </c>
      <c r="L23" s="19"/>
      <c r="M23" s="20"/>
      <c r="N23" s="19"/>
      <c r="O23" s="19"/>
    </row>
    <row r="24" customFormat="false" ht="23.25" hidden="false" customHeight="true" outlineLevel="0" collapsed="false">
      <c r="A24" s="18" t="s">
        <v>167</v>
      </c>
      <c r="B24" s="18" t="s">
        <v>40</v>
      </c>
      <c r="C24" s="18" t="s">
        <v>146</v>
      </c>
      <c r="D24" s="18" t="s">
        <v>132</v>
      </c>
      <c r="E24" s="18" t="s">
        <v>83</v>
      </c>
      <c r="F24" s="18" t="s">
        <v>168</v>
      </c>
      <c r="G24" s="18" t="s">
        <v>169</v>
      </c>
      <c r="H24" s="18" t="s">
        <v>170</v>
      </c>
      <c r="I24" s="18" t="s">
        <v>171</v>
      </c>
      <c r="J24" s="19"/>
      <c r="K24" s="19" t="s">
        <v>37</v>
      </c>
      <c r="L24" s="19"/>
      <c r="M24" s="20"/>
      <c r="N24" s="19"/>
      <c r="O24" s="19"/>
    </row>
    <row r="25" customFormat="false" ht="23.25" hidden="false" customHeight="true" outlineLevel="0" collapsed="false">
      <c r="A25" s="18" t="s">
        <v>172</v>
      </c>
      <c r="B25" s="18" t="s">
        <v>41</v>
      </c>
      <c r="C25" s="18" t="s">
        <v>173</v>
      </c>
      <c r="D25" s="18" t="s">
        <v>110</v>
      </c>
      <c r="E25" s="18" t="s">
        <v>83</v>
      </c>
      <c r="F25" s="18" t="s">
        <v>133</v>
      </c>
      <c r="G25" s="18"/>
      <c r="H25" s="18" t="s">
        <v>174</v>
      </c>
      <c r="I25" s="18" t="s">
        <v>175</v>
      </c>
      <c r="J25" s="19"/>
      <c r="K25" s="19" t="s">
        <v>37</v>
      </c>
      <c r="L25" s="19"/>
      <c r="M25" s="20"/>
      <c r="N25" s="19"/>
      <c r="O25" s="19"/>
    </row>
    <row r="26" customFormat="false" ht="15" hidden="false" customHeight="true" outlineLevel="0" collapsed="false">
      <c r="A26" s="18" t="s">
        <v>176</v>
      </c>
      <c r="B26" s="18" t="s">
        <v>41</v>
      </c>
      <c r="C26" s="18" t="s">
        <v>173</v>
      </c>
      <c r="D26" s="18" t="s">
        <v>110</v>
      </c>
      <c r="E26" s="18" t="s">
        <v>83</v>
      </c>
      <c r="F26" s="18" t="s">
        <v>133</v>
      </c>
      <c r="G26" s="18"/>
      <c r="H26" s="18" t="s">
        <v>177</v>
      </c>
      <c r="I26" s="18" t="s">
        <v>178</v>
      </c>
      <c r="J26" s="19"/>
      <c r="K26" s="19" t="s">
        <v>37</v>
      </c>
      <c r="L26" s="19"/>
      <c r="M26" s="20"/>
      <c r="N26" s="19"/>
      <c r="O26" s="19"/>
    </row>
    <row r="27" customFormat="false" ht="15" hidden="false" customHeight="true" outlineLevel="0" collapsed="false">
      <c r="A27" s="18" t="s">
        <v>179</v>
      </c>
      <c r="B27" s="18" t="s">
        <v>41</v>
      </c>
      <c r="C27" s="18" t="s">
        <v>180</v>
      </c>
      <c r="D27" s="18" t="s">
        <v>93</v>
      </c>
      <c r="E27" s="18" t="s">
        <v>83</v>
      </c>
      <c r="F27" s="18" t="s">
        <v>133</v>
      </c>
      <c r="G27" s="18"/>
      <c r="H27" s="18" t="s">
        <v>181</v>
      </c>
      <c r="I27" s="18" t="s">
        <v>182</v>
      </c>
      <c r="J27" s="19"/>
      <c r="K27" s="19" t="s">
        <v>37</v>
      </c>
      <c r="L27" s="19"/>
      <c r="M27" s="20"/>
      <c r="N27" s="19"/>
      <c r="O27" s="19"/>
    </row>
    <row r="28" customFormat="false" ht="15" hidden="false" customHeight="true" outlineLevel="0" collapsed="false">
      <c r="A28" s="18" t="s">
        <v>183</v>
      </c>
      <c r="B28" s="18" t="s">
        <v>41</v>
      </c>
      <c r="C28" s="18" t="s">
        <v>184</v>
      </c>
      <c r="D28" s="18" t="s">
        <v>110</v>
      </c>
      <c r="E28" s="18" t="s">
        <v>99</v>
      </c>
      <c r="F28" s="18" t="s">
        <v>133</v>
      </c>
      <c r="G28" s="18"/>
      <c r="H28" s="18" t="s">
        <v>185</v>
      </c>
      <c r="I28" s="18" t="s">
        <v>186</v>
      </c>
      <c r="J28" s="19"/>
      <c r="K28" s="19" t="s">
        <v>37</v>
      </c>
      <c r="L28" s="19"/>
      <c r="M28" s="20"/>
      <c r="N28" s="19"/>
      <c r="O28" s="19"/>
    </row>
    <row r="29" customFormat="false" ht="23.25" hidden="false" customHeight="true" outlineLevel="0" collapsed="false">
      <c r="A29" s="18" t="s">
        <v>187</v>
      </c>
      <c r="B29" s="18" t="s">
        <v>41</v>
      </c>
      <c r="C29" s="18" t="s">
        <v>188</v>
      </c>
      <c r="D29" s="18" t="s">
        <v>93</v>
      </c>
      <c r="E29" s="18" t="s">
        <v>83</v>
      </c>
      <c r="F29" s="18" t="s">
        <v>133</v>
      </c>
      <c r="G29" s="18" t="s">
        <v>189</v>
      </c>
      <c r="H29" s="18" t="s">
        <v>190</v>
      </c>
      <c r="I29" s="18" t="s">
        <v>191</v>
      </c>
      <c r="J29" s="19"/>
      <c r="K29" s="19" t="s">
        <v>37</v>
      </c>
      <c r="L29" s="19"/>
      <c r="M29" s="20"/>
      <c r="N29" s="19"/>
      <c r="O29" s="19"/>
    </row>
    <row r="30" customFormat="false" ht="15" hidden="false" customHeight="true" outlineLevel="0" collapsed="false">
      <c r="A30" s="18" t="s">
        <v>192</v>
      </c>
      <c r="B30" s="18" t="s">
        <v>41</v>
      </c>
      <c r="C30" s="18" t="s">
        <v>193</v>
      </c>
      <c r="D30" s="18" t="s">
        <v>93</v>
      </c>
      <c r="E30" s="18" t="s">
        <v>99</v>
      </c>
      <c r="F30" s="18" t="s">
        <v>133</v>
      </c>
      <c r="G30" s="18"/>
      <c r="H30" s="18" t="s">
        <v>194</v>
      </c>
      <c r="I30" s="18" t="s">
        <v>195</v>
      </c>
      <c r="J30" s="19"/>
      <c r="K30" s="19" t="s">
        <v>37</v>
      </c>
      <c r="L30" s="19"/>
      <c r="M30" s="20"/>
      <c r="N30" s="19"/>
      <c r="O30" s="19"/>
    </row>
    <row r="31" customFormat="false" ht="23.25" hidden="false" customHeight="true" outlineLevel="0" collapsed="false">
      <c r="A31" s="18" t="s">
        <v>196</v>
      </c>
      <c r="B31" s="18" t="s">
        <v>41</v>
      </c>
      <c r="C31" s="18" t="s">
        <v>197</v>
      </c>
      <c r="D31" s="18" t="s">
        <v>93</v>
      </c>
      <c r="E31" s="18" t="s">
        <v>99</v>
      </c>
      <c r="F31" s="18" t="s">
        <v>133</v>
      </c>
      <c r="G31" s="18"/>
      <c r="H31" s="18" t="s">
        <v>198</v>
      </c>
      <c r="I31" s="18" t="s">
        <v>199</v>
      </c>
      <c r="J31" s="19"/>
      <c r="K31" s="19" t="s">
        <v>37</v>
      </c>
      <c r="L31" s="19"/>
      <c r="M31" s="20"/>
      <c r="N31" s="19"/>
      <c r="O31" s="19"/>
    </row>
    <row r="32" customFormat="false" ht="23.25" hidden="false" customHeight="true" outlineLevel="0" collapsed="false">
      <c r="A32" s="18" t="s">
        <v>200</v>
      </c>
      <c r="B32" s="18" t="s">
        <v>41</v>
      </c>
      <c r="C32" s="18" t="s">
        <v>201</v>
      </c>
      <c r="D32" s="18" t="s">
        <v>110</v>
      </c>
      <c r="E32" s="18" t="s">
        <v>111</v>
      </c>
      <c r="F32" s="18" t="s">
        <v>133</v>
      </c>
      <c r="G32" s="18"/>
      <c r="H32" s="18" t="s">
        <v>202</v>
      </c>
      <c r="I32" s="18" t="s">
        <v>203</v>
      </c>
      <c r="J32" s="19"/>
      <c r="K32" s="19" t="s">
        <v>37</v>
      </c>
      <c r="L32" s="19"/>
      <c r="M32" s="20"/>
      <c r="N32" s="19"/>
      <c r="O32" s="19"/>
    </row>
    <row r="33" customFormat="false" ht="15" hidden="false" customHeight="true" outlineLevel="0" collapsed="false">
      <c r="A33" s="18" t="s">
        <v>204</v>
      </c>
      <c r="B33" s="18" t="s">
        <v>41</v>
      </c>
      <c r="C33" s="18" t="s">
        <v>205</v>
      </c>
      <c r="D33" s="18" t="s">
        <v>82</v>
      </c>
      <c r="E33" s="18" t="s">
        <v>99</v>
      </c>
      <c r="F33" s="18" t="s">
        <v>133</v>
      </c>
      <c r="G33" s="18" t="s">
        <v>206</v>
      </c>
      <c r="H33" s="18" t="s">
        <v>207</v>
      </c>
      <c r="I33" s="18" t="s">
        <v>208</v>
      </c>
      <c r="J33" s="19"/>
      <c r="K33" s="19" t="s">
        <v>37</v>
      </c>
      <c r="L33" s="19"/>
      <c r="M33" s="20"/>
      <c r="N33" s="19"/>
      <c r="O33" s="19"/>
    </row>
    <row r="34" customFormat="false" ht="15" hidden="false" customHeight="true" outlineLevel="0" collapsed="false">
      <c r="A34" s="18" t="s">
        <v>209</v>
      </c>
      <c r="B34" s="18" t="s">
        <v>41</v>
      </c>
      <c r="C34" s="18" t="s">
        <v>210</v>
      </c>
      <c r="D34" s="18" t="s">
        <v>110</v>
      </c>
      <c r="E34" s="18" t="s">
        <v>111</v>
      </c>
      <c r="F34" s="18" t="s">
        <v>133</v>
      </c>
      <c r="G34" s="18"/>
      <c r="H34" s="18" t="s">
        <v>211</v>
      </c>
      <c r="I34" s="18" t="s">
        <v>212</v>
      </c>
      <c r="J34" s="19"/>
      <c r="K34" s="19" t="s">
        <v>37</v>
      </c>
      <c r="L34" s="19"/>
      <c r="M34" s="20"/>
      <c r="N34" s="19"/>
      <c r="O34" s="19"/>
    </row>
    <row r="35" customFormat="false" ht="23.25" hidden="false" customHeight="true" outlineLevel="0" collapsed="false">
      <c r="A35" s="18" t="s">
        <v>213</v>
      </c>
      <c r="B35" s="18" t="s">
        <v>42</v>
      </c>
      <c r="C35" s="18" t="s">
        <v>214</v>
      </c>
      <c r="D35" s="18" t="s">
        <v>93</v>
      </c>
      <c r="E35" s="18" t="s">
        <v>83</v>
      </c>
      <c r="F35" s="18" t="s">
        <v>94</v>
      </c>
      <c r="G35" s="18" t="s">
        <v>116</v>
      </c>
      <c r="H35" s="18" t="s">
        <v>215</v>
      </c>
      <c r="I35" s="18" t="s">
        <v>216</v>
      </c>
      <c r="J35" s="19"/>
      <c r="K35" s="19" t="s">
        <v>37</v>
      </c>
      <c r="L35" s="19"/>
      <c r="M35" s="20"/>
      <c r="N35" s="19"/>
      <c r="O35" s="19"/>
    </row>
    <row r="36" customFormat="false" ht="15" hidden="false" customHeight="true" outlineLevel="0" collapsed="false">
      <c r="A36" s="18" t="s">
        <v>217</v>
      </c>
      <c r="B36" s="18" t="s">
        <v>42</v>
      </c>
      <c r="C36" s="18" t="s">
        <v>218</v>
      </c>
      <c r="D36" s="18" t="s">
        <v>106</v>
      </c>
      <c r="E36" s="18" t="s">
        <v>83</v>
      </c>
      <c r="F36" s="18" t="s">
        <v>94</v>
      </c>
      <c r="G36" s="18"/>
      <c r="H36" s="18" t="s">
        <v>219</v>
      </c>
      <c r="I36" s="18" t="s">
        <v>220</v>
      </c>
      <c r="J36" s="19"/>
      <c r="K36" s="19" t="s">
        <v>37</v>
      </c>
      <c r="L36" s="19"/>
      <c r="M36" s="20"/>
      <c r="N36" s="19"/>
      <c r="O36" s="19"/>
    </row>
    <row r="37" customFormat="false" ht="23.25" hidden="false" customHeight="true" outlineLevel="0" collapsed="false">
      <c r="A37" s="18" t="s">
        <v>221</v>
      </c>
      <c r="B37" s="18" t="s">
        <v>42</v>
      </c>
      <c r="C37" s="18" t="s">
        <v>218</v>
      </c>
      <c r="D37" s="18" t="s">
        <v>93</v>
      </c>
      <c r="E37" s="18" t="s">
        <v>83</v>
      </c>
      <c r="F37" s="18" t="s">
        <v>94</v>
      </c>
      <c r="G37" s="18"/>
      <c r="H37" s="18" t="s">
        <v>222</v>
      </c>
      <c r="I37" s="18" t="s">
        <v>223</v>
      </c>
      <c r="J37" s="19"/>
      <c r="K37" s="19" t="s">
        <v>37</v>
      </c>
      <c r="L37" s="19"/>
      <c r="M37" s="20"/>
      <c r="N37" s="19"/>
      <c r="O37" s="19"/>
    </row>
    <row r="38" customFormat="false" ht="15" hidden="false" customHeight="true" outlineLevel="0" collapsed="false">
      <c r="A38" s="18" t="s">
        <v>224</v>
      </c>
      <c r="B38" s="18" t="s">
        <v>42</v>
      </c>
      <c r="C38" s="18" t="s">
        <v>218</v>
      </c>
      <c r="D38" s="18" t="s">
        <v>82</v>
      </c>
      <c r="E38" s="18" t="s">
        <v>83</v>
      </c>
      <c r="F38" s="18" t="s">
        <v>94</v>
      </c>
      <c r="G38" s="18" t="s">
        <v>225</v>
      </c>
      <c r="H38" s="18" t="s">
        <v>226</v>
      </c>
      <c r="I38" s="18" t="s">
        <v>227</v>
      </c>
      <c r="J38" s="19"/>
      <c r="K38" s="19" t="s">
        <v>37</v>
      </c>
      <c r="L38" s="19"/>
      <c r="M38" s="20"/>
      <c r="N38" s="19"/>
      <c r="O38" s="19"/>
    </row>
    <row r="39" customFormat="false" ht="15" hidden="false" customHeight="true" outlineLevel="0" collapsed="false">
      <c r="A39" s="18" t="s">
        <v>228</v>
      </c>
      <c r="B39" s="18" t="s">
        <v>42</v>
      </c>
      <c r="C39" s="18" t="s">
        <v>218</v>
      </c>
      <c r="D39" s="18" t="s">
        <v>106</v>
      </c>
      <c r="E39" s="18" t="s">
        <v>99</v>
      </c>
      <c r="F39" s="18" t="s">
        <v>94</v>
      </c>
      <c r="G39" s="18"/>
      <c r="H39" s="18" t="s">
        <v>229</v>
      </c>
      <c r="I39" s="18" t="s">
        <v>230</v>
      </c>
      <c r="J39" s="19"/>
      <c r="K39" s="19" t="s">
        <v>37</v>
      </c>
      <c r="L39" s="19"/>
      <c r="M39" s="20"/>
      <c r="N39" s="19"/>
      <c r="O39" s="19"/>
    </row>
    <row r="40" customFormat="false" ht="15" hidden="false" customHeight="true" outlineLevel="0" collapsed="false">
      <c r="A40" s="18" t="s">
        <v>231</v>
      </c>
      <c r="B40" s="18" t="s">
        <v>42</v>
      </c>
      <c r="C40" s="18" t="s">
        <v>218</v>
      </c>
      <c r="D40" s="18" t="s">
        <v>93</v>
      </c>
      <c r="E40" s="18" t="s">
        <v>111</v>
      </c>
      <c r="F40" s="18" t="s">
        <v>94</v>
      </c>
      <c r="G40" s="18"/>
      <c r="H40" s="18" t="s">
        <v>232</v>
      </c>
      <c r="I40" s="18" t="s">
        <v>233</v>
      </c>
      <c r="J40" s="19"/>
      <c r="K40" s="19" t="s">
        <v>37</v>
      </c>
      <c r="L40" s="19"/>
      <c r="M40" s="20"/>
      <c r="N40" s="19"/>
      <c r="O40" s="19"/>
    </row>
    <row r="41" customFormat="false" ht="15" hidden="false" customHeight="true" outlineLevel="0" collapsed="false">
      <c r="A41" s="18" t="s">
        <v>234</v>
      </c>
      <c r="B41" s="18" t="s">
        <v>42</v>
      </c>
      <c r="C41" s="18" t="s">
        <v>235</v>
      </c>
      <c r="D41" s="18" t="s">
        <v>93</v>
      </c>
      <c r="E41" s="18" t="s">
        <v>99</v>
      </c>
      <c r="F41" s="18" t="s">
        <v>94</v>
      </c>
      <c r="G41" s="18"/>
      <c r="H41" s="18" t="s">
        <v>236</v>
      </c>
      <c r="I41" s="18" t="s">
        <v>237</v>
      </c>
      <c r="J41" s="19"/>
      <c r="K41" s="19" t="s">
        <v>37</v>
      </c>
      <c r="L41" s="19"/>
      <c r="M41" s="20"/>
      <c r="N41" s="19"/>
      <c r="O41" s="19"/>
    </row>
    <row r="42" customFormat="false" ht="15" hidden="false" customHeight="true" outlineLevel="0" collapsed="false">
      <c r="A42" s="18" t="s">
        <v>238</v>
      </c>
      <c r="B42" s="18" t="s">
        <v>42</v>
      </c>
      <c r="C42" s="18" t="s">
        <v>235</v>
      </c>
      <c r="D42" s="18" t="s">
        <v>82</v>
      </c>
      <c r="E42" s="18" t="s">
        <v>83</v>
      </c>
      <c r="F42" s="18" t="s">
        <v>94</v>
      </c>
      <c r="G42" s="18" t="s">
        <v>239</v>
      </c>
      <c r="H42" s="18" t="s">
        <v>240</v>
      </c>
      <c r="I42" s="18" t="s">
        <v>241</v>
      </c>
      <c r="J42" s="19"/>
      <c r="K42" s="19" t="s">
        <v>37</v>
      </c>
      <c r="L42" s="19"/>
      <c r="M42" s="20"/>
      <c r="N42" s="19"/>
      <c r="O42" s="19"/>
    </row>
    <row r="43" customFormat="false" ht="23.25" hidden="false" customHeight="true" outlineLevel="0" collapsed="false">
      <c r="A43" s="18" t="s">
        <v>242</v>
      </c>
      <c r="B43" s="18" t="s">
        <v>42</v>
      </c>
      <c r="C43" s="18" t="s">
        <v>75</v>
      </c>
      <c r="D43" s="18" t="s">
        <v>93</v>
      </c>
      <c r="E43" s="18" t="s">
        <v>83</v>
      </c>
      <c r="F43" s="18" t="s">
        <v>94</v>
      </c>
      <c r="G43" s="18"/>
      <c r="H43" s="18" t="s">
        <v>243</v>
      </c>
      <c r="I43" s="18" t="s">
        <v>244</v>
      </c>
      <c r="J43" s="19"/>
      <c r="K43" s="19" t="s">
        <v>37</v>
      </c>
      <c r="L43" s="19"/>
      <c r="M43" s="20"/>
      <c r="N43" s="19"/>
      <c r="O43" s="19"/>
    </row>
    <row r="44" customFormat="false" ht="15" hidden="false" customHeight="true" outlineLevel="0" collapsed="false">
      <c r="A44" s="18" t="s">
        <v>245</v>
      </c>
      <c r="B44" s="18" t="s">
        <v>42</v>
      </c>
      <c r="C44" s="18" t="s">
        <v>246</v>
      </c>
      <c r="D44" s="18" t="s">
        <v>110</v>
      </c>
      <c r="E44" s="18" t="s">
        <v>111</v>
      </c>
      <c r="F44" s="18" t="s">
        <v>94</v>
      </c>
      <c r="G44" s="18"/>
      <c r="H44" s="18" t="s">
        <v>247</v>
      </c>
      <c r="I44" s="18" t="s">
        <v>248</v>
      </c>
      <c r="J44" s="19"/>
      <c r="K44" s="19" t="s">
        <v>37</v>
      </c>
      <c r="L44" s="19"/>
      <c r="M44" s="20"/>
      <c r="N44" s="19"/>
      <c r="O44" s="19"/>
    </row>
    <row r="45" customFormat="false" ht="15" hidden="false" customHeight="true" outlineLevel="0" collapsed="false">
      <c r="A45" s="18" t="s">
        <v>249</v>
      </c>
      <c r="B45" s="18" t="s">
        <v>42</v>
      </c>
      <c r="C45" s="18" t="s">
        <v>250</v>
      </c>
      <c r="D45" s="18" t="s">
        <v>93</v>
      </c>
      <c r="E45" s="18" t="s">
        <v>99</v>
      </c>
      <c r="F45" s="18" t="s">
        <v>94</v>
      </c>
      <c r="G45" s="18"/>
      <c r="H45" s="18" t="s">
        <v>251</v>
      </c>
      <c r="I45" s="18" t="s">
        <v>252</v>
      </c>
      <c r="J45" s="19"/>
      <c r="K45" s="19" t="s">
        <v>37</v>
      </c>
      <c r="L45" s="19"/>
      <c r="M45" s="20"/>
      <c r="N45" s="19"/>
      <c r="O45" s="19"/>
    </row>
    <row r="46" customFormat="false" ht="15" hidden="false" customHeight="true" outlineLevel="0" collapsed="false">
      <c r="A46" s="18" t="s">
        <v>253</v>
      </c>
      <c r="B46" s="18" t="s">
        <v>42</v>
      </c>
      <c r="C46" s="18" t="s">
        <v>254</v>
      </c>
      <c r="D46" s="18" t="s">
        <v>93</v>
      </c>
      <c r="E46" s="18" t="s">
        <v>99</v>
      </c>
      <c r="F46" s="18" t="s">
        <v>94</v>
      </c>
      <c r="G46" s="18" t="s">
        <v>255</v>
      </c>
      <c r="H46" s="18" t="s">
        <v>256</v>
      </c>
      <c r="I46" s="18" t="s">
        <v>257</v>
      </c>
      <c r="J46" s="19"/>
      <c r="K46" s="19" t="s">
        <v>37</v>
      </c>
      <c r="L46" s="19"/>
      <c r="M46" s="20"/>
      <c r="N46" s="19"/>
      <c r="O46" s="19"/>
    </row>
    <row r="47" customFormat="false" ht="15" hidden="false" customHeight="true" outlineLevel="0" collapsed="false">
      <c r="A47" s="18" t="s">
        <v>258</v>
      </c>
      <c r="B47" s="18" t="s">
        <v>42</v>
      </c>
      <c r="C47" s="18" t="s">
        <v>254</v>
      </c>
      <c r="D47" s="18" t="s">
        <v>82</v>
      </c>
      <c r="E47" s="18" t="s">
        <v>83</v>
      </c>
      <c r="F47" s="18" t="s">
        <v>94</v>
      </c>
      <c r="G47" s="18" t="s">
        <v>259</v>
      </c>
      <c r="H47" s="18" t="s">
        <v>256</v>
      </c>
      <c r="I47" s="18" t="s">
        <v>260</v>
      </c>
      <c r="J47" s="19"/>
      <c r="K47" s="19" t="s">
        <v>37</v>
      </c>
      <c r="L47" s="19"/>
      <c r="M47" s="20"/>
      <c r="N47" s="19"/>
      <c r="O47" s="19"/>
    </row>
    <row r="48" customFormat="false" ht="15" hidden="false" customHeight="true" outlineLevel="0" collapsed="false">
      <c r="A48" s="18" t="s">
        <v>261</v>
      </c>
      <c r="B48" s="18" t="s">
        <v>42</v>
      </c>
      <c r="C48" s="18" t="s">
        <v>262</v>
      </c>
      <c r="D48" s="18" t="s">
        <v>132</v>
      </c>
      <c r="E48" s="18" t="s">
        <v>83</v>
      </c>
      <c r="F48" s="18" t="s">
        <v>168</v>
      </c>
      <c r="G48" s="18"/>
      <c r="H48" s="18" t="s">
        <v>263</v>
      </c>
      <c r="I48" s="18" t="s">
        <v>264</v>
      </c>
      <c r="J48" s="19"/>
      <c r="K48" s="19" t="s">
        <v>37</v>
      </c>
      <c r="L48" s="19"/>
      <c r="M48" s="20"/>
      <c r="N48" s="19"/>
      <c r="O48" s="19"/>
    </row>
    <row r="49" customFormat="false" ht="15" hidden="false" customHeight="true" outlineLevel="0" collapsed="false">
      <c r="A49" s="18" t="s">
        <v>265</v>
      </c>
      <c r="B49" s="18" t="s">
        <v>43</v>
      </c>
      <c r="C49" s="18" t="s">
        <v>214</v>
      </c>
      <c r="D49" s="18" t="s">
        <v>93</v>
      </c>
      <c r="E49" s="18" t="s">
        <v>83</v>
      </c>
      <c r="F49" s="18" t="s">
        <v>94</v>
      </c>
      <c r="G49" s="18"/>
      <c r="H49" s="18" t="s">
        <v>266</v>
      </c>
      <c r="I49" s="18" t="s">
        <v>267</v>
      </c>
      <c r="J49" s="19"/>
      <c r="K49" s="19" t="s">
        <v>37</v>
      </c>
      <c r="L49" s="19"/>
      <c r="M49" s="20"/>
      <c r="N49" s="19"/>
      <c r="O49" s="19"/>
    </row>
    <row r="50" customFormat="false" ht="15" hidden="false" customHeight="true" outlineLevel="0" collapsed="false">
      <c r="A50" s="18" t="s">
        <v>268</v>
      </c>
      <c r="B50" s="18" t="s">
        <v>43</v>
      </c>
      <c r="C50" s="18" t="s">
        <v>218</v>
      </c>
      <c r="D50" s="18" t="s">
        <v>93</v>
      </c>
      <c r="E50" s="18" t="s">
        <v>83</v>
      </c>
      <c r="F50" s="18" t="s">
        <v>94</v>
      </c>
      <c r="G50" s="18" t="s">
        <v>269</v>
      </c>
      <c r="H50" s="18" t="s">
        <v>270</v>
      </c>
      <c r="I50" s="18" t="s">
        <v>271</v>
      </c>
      <c r="J50" s="19"/>
      <c r="K50" s="19" t="s">
        <v>37</v>
      </c>
      <c r="L50" s="19"/>
      <c r="M50" s="20"/>
      <c r="N50" s="19"/>
      <c r="O50" s="19"/>
    </row>
    <row r="51" customFormat="false" ht="23.25" hidden="false" customHeight="true" outlineLevel="0" collapsed="false">
      <c r="A51" s="18" t="s">
        <v>272</v>
      </c>
      <c r="B51" s="18" t="s">
        <v>43</v>
      </c>
      <c r="C51" s="18" t="s">
        <v>218</v>
      </c>
      <c r="D51" s="18" t="s">
        <v>110</v>
      </c>
      <c r="E51" s="18" t="s">
        <v>99</v>
      </c>
      <c r="F51" s="18" t="s">
        <v>94</v>
      </c>
      <c r="G51" s="18"/>
      <c r="H51" s="18" t="s">
        <v>273</v>
      </c>
      <c r="I51" s="18" t="s">
        <v>274</v>
      </c>
      <c r="J51" s="19"/>
      <c r="K51" s="19" t="s">
        <v>37</v>
      </c>
      <c r="L51" s="19"/>
      <c r="M51" s="20"/>
      <c r="N51" s="19"/>
      <c r="O51" s="19"/>
    </row>
    <row r="52" customFormat="false" ht="15" hidden="false" customHeight="true" outlineLevel="0" collapsed="false">
      <c r="A52" s="18" t="s">
        <v>275</v>
      </c>
      <c r="B52" s="18" t="s">
        <v>43</v>
      </c>
      <c r="C52" s="18" t="s">
        <v>218</v>
      </c>
      <c r="D52" s="18" t="s">
        <v>106</v>
      </c>
      <c r="E52" s="18" t="s">
        <v>99</v>
      </c>
      <c r="F52" s="18" t="s">
        <v>94</v>
      </c>
      <c r="G52" s="18"/>
      <c r="H52" s="18" t="s">
        <v>276</v>
      </c>
      <c r="I52" s="18" t="s">
        <v>277</v>
      </c>
      <c r="J52" s="19"/>
      <c r="K52" s="19" t="s">
        <v>37</v>
      </c>
      <c r="L52" s="19"/>
      <c r="M52" s="20"/>
      <c r="N52" s="19"/>
      <c r="O52" s="19"/>
    </row>
    <row r="53" customFormat="false" ht="15" hidden="false" customHeight="true" outlineLevel="0" collapsed="false">
      <c r="A53" s="18" t="s">
        <v>278</v>
      </c>
      <c r="B53" s="18" t="s">
        <v>43</v>
      </c>
      <c r="C53" s="18" t="s">
        <v>218</v>
      </c>
      <c r="D53" s="18" t="s">
        <v>106</v>
      </c>
      <c r="E53" s="18" t="s">
        <v>83</v>
      </c>
      <c r="F53" s="18" t="s">
        <v>94</v>
      </c>
      <c r="G53" s="18"/>
      <c r="H53" s="18" t="s">
        <v>279</v>
      </c>
      <c r="I53" s="18" t="s">
        <v>280</v>
      </c>
      <c r="J53" s="19"/>
      <c r="K53" s="19" t="s">
        <v>37</v>
      </c>
      <c r="L53" s="19"/>
      <c r="M53" s="20"/>
      <c r="N53" s="19"/>
      <c r="O53" s="19"/>
    </row>
    <row r="54" customFormat="false" ht="15" hidden="false" customHeight="true" outlineLevel="0" collapsed="false">
      <c r="A54" s="18" t="s">
        <v>281</v>
      </c>
      <c r="B54" s="18" t="s">
        <v>43</v>
      </c>
      <c r="C54" s="18" t="s">
        <v>218</v>
      </c>
      <c r="D54" s="18" t="s">
        <v>93</v>
      </c>
      <c r="E54" s="18" t="s">
        <v>111</v>
      </c>
      <c r="F54" s="18" t="s">
        <v>94</v>
      </c>
      <c r="G54" s="18"/>
      <c r="H54" s="18" t="s">
        <v>282</v>
      </c>
      <c r="I54" s="18" t="s">
        <v>283</v>
      </c>
      <c r="J54" s="19"/>
      <c r="K54" s="19" t="s">
        <v>37</v>
      </c>
      <c r="L54" s="19"/>
      <c r="M54" s="20"/>
      <c r="N54" s="19"/>
      <c r="O54" s="19"/>
    </row>
    <row r="55" customFormat="false" ht="15" hidden="false" customHeight="true" outlineLevel="0" collapsed="false">
      <c r="A55" s="18" t="s">
        <v>284</v>
      </c>
      <c r="B55" s="18" t="s">
        <v>43</v>
      </c>
      <c r="C55" s="18" t="s">
        <v>218</v>
      </c>
      <c r="D55" s="18" t="s">
        <v>82</v>
      </c>
      <c r="E55" s="18" t="s">
        <v>83</v>
      </c>
      <c r="F55" s="18" t="s">
        <v>94</v>
      </c>
      <c r="G55" s="18"/>
      <c r="H55" s="18" t="s">
        <v>285</v>
      </c>
      <c r="I55" s="18" t="s">
        <v>286</v>
      </c>
      <c r="J55" s="19"/>
      <c r="K55" s="19" t="s">
        <v>37</v>
      </c>
      <c r="L55" s="19"/>
      <c r="M55" s="20"/>
      <c r="N55" s="19"/>
      <c r="O55" s="19"/>
    </row>
    <row r="56" customFormat="false" ht="15" hidden="false" customHeight="true" outlineLevel="0" collapsed="false">
      <c r="A56" s="18" t="s">
        <v>287</v>
      </c>
      <c r="B56" s="18" t="s">
        <v>43</v>
      </c>
      <c r="C56" s="18" t="s">
        <v>235</v>
      </c>
      <c r="D56" s="18" t="s">
        <v>93</v>
      </c>
      <c r="E56" s="18" t="s">
        <v>99</v>
      </c>
      <c r="F56" s="18" t="s">
        <v>94</v>
      </c>
      <c r="G56" s="18"/>
      <c r="H56" s="18" t="s">
        <v>288</v>
      </c>
      <c r="I56" s="18" t="s">
        <v>289</v>
      </c>
      <c r="J56" s="19"/>
      <c r="K56" s="19" t="s">
        <v>37</v>
      </c>
      <c r="L56" s="19"/>
      <c r="M56" s="20"/>
      <c r="N56" s="19"/>
      <c r="O56" s="19"/>
    </row>
    <row r="57" customFormat="false" ht="15" hidden="false" customHeight="true" outlineLevel="0" collapsed="false">
      <c r="A57" s="18" t="s">
        <v>290</v>
      </c>
      <c r="B57" s="18" t="s">
        <v>43</v>
      </c>
      <c r="C57" s="18" t="s">
        <v>250</v>
      </c>
      <c r="D57" s="18" t="s">
        <v>93</v>
      </c>
      <c r="E57" s="18" t="s">
        <v>99</v>
      </c>
      <c r="F57" s="18" t="s">
        <v>94</v>
      </c>
      <c r="G57" s="18"/>
      <c r="H57" s="18" t="s">
        <v>291</v>
      </c>
      <c r="I57" s="18" t="s">
        <v>292</v>
      </c>
      <c r="J57" s="19"/>
      <c r="K57" s="19" t="s">
        <v>37</v>
      </c>
      <c r="L57" s="19"/>
      <c r="M57" s="20"/>
      <c r="N57" s="19"/>
      <c r="O57" s="19"/>
    </row>
    <row r="58" customFormat="false" ht="15" hidden="false" customHeight="true" outlineLevel="0" collapsed="false">
      <c r="A58" s="18" t="s">
        <v>293</v>
      </c>
      <c r="B58" s="18" t="s">
        <v>43</v>
      </c>
      <c r="C58" s="18" t="s">
        <v>254</v>
      </c>
      <c r="D58" s="18" t="s">
        <v>93</v>
      </c>
      <c r="E58" s="18" t="s">
        <v>99</v>
      </c>
      <c r="F58" s="18" t="s">
        <v>94</v>
      </c>
      <c r="G58" s="18"/>
      <c r="H58" s="18" t="s">
        <v>294</v>
      </c>
      <c r="I58" s="18" t="s">
        <v>295</v>
      </c>
      <c r="J58" s="19"/>
      <c r="K58" s="19" t="s">
        <v>37</v>
      </c>
      <c r="L58" s="19"/>
      <c r="M58" s="20"/>
      <c r="N58" s="19"/>
      <c r="O58" s="19"/>
    </row>
    <row r="59" customFormat="false" ht="15" hidden="false" customHeight="true" outlineLevel="0" collapsed="false">
      <c r="A59" s="18" t="s">
        <v>296</v>
      </c>
      <c r="B59" s="18" t="s">
        <v>43</v>
      </c>
      <c r="C59" s="18" t="s">
        <v>297</v>
      </c>
      <c r="D59" s="18" t="s">
        <v>93</v>
      </c>
      <c r="E59" s="18" t="s">
        <v>99</v>
      </c>
      <c r="F59" s="18" t="s">
        <v>94</v>
      </c>
      <c r="G59" s="18" t="s">
        <v>298</v>
      </c>
      <c r="H59" s="18" t="s">
        <v>299</v>
      </c>
      <c r="I59" s="18" t="s">
        <v>300</v>
      </c>
      <c r="J59" s="19"/>
      <c r="K59" s="19" t="s">
        <v>37</v>
      </c>
      <c r="L59" s="19"/>
      <c r="M59" s="20"/>
      <c r="N59" s="19"/>
      <c r="O59" s="19"/>
    </row>
    <row r="60" customFormat="false" ht="15" hidden="false" customHeight="true" outlineLevel="0" collapsed="false">
      <c r="A60" s="18" t="s">
        <v>301</v>
      </c>
      <c r="B60" s="18" t="s">
        <v>44</v>
      </c>
      <c r="C60" s="18" t="s">
        <v>214</v>
      </c>
      <c r="D60" s="18" t="s">
        <v>93</v>
      </c>
      <c r="E60" s="18" t="s">
        <v>83</v>
      </c>
      <c r="F60" s="18" t="s">
        <v>94</v>
      </c>
      <c r="G60" s="18"/>
      <c r="H60" s="18" t="s">
        <v>302</v>
      </c>
      <c r="I60" s="18" t="s">
        <v>303</v>
      </c>
      <c r="J60" s="19"/>
      <c r="K60" s="19" t="s">
        <v>37</v>
      </c>
      <c r="L60" s="19"/>
      <c r="M60" s="20"/>
      <c r="N60" s="19"/>
      <c r="O60" s="19"/>
    </row>
    <row r="61" customFormat="false" ht="15" hidden="false" customHeight="true" outlineLevel="0" collapsed="false">
      <c r="A61" s="18" t="s">
        <v>304</v>
      </c>
      <c r="B61" s="18" t="s">
        <v>44</v>
      </c>
      <c r="C61" s="18" t="s">
        <v>214</v>
      </c>
      <c r="D61" s="18" t="s">
        <v>93</v>
      </c>
      <c r="E61" s="18" t="s">
        <v>99</v>
      </c>
      <c r="F61" s="18" t="s">
        <v>94</v>
      </c>
      <c r="G61" s="18"/>
      <c r="H61" s="18" t="s">
        <v>305</v>
      </c>
      <c r="I61" s="18" t="s">
        <v>306</v>
      </c>
      <c r="J61" s="19"/>
      <c r="K61" s="19" t="s">
        <v>37</v>
      </c>
      <c r="L61" s="19"/>
      <c r="M61" s="20"/>
      <c r="N61" s="19"/>
      <c r="O61" s="19"/>
    </row>
    <row r="62" customFormat="false" ht="23.25" hidden="false" customHeight="true" outlineLevel="0" collapsed="false">
      <c r="A62" s="18" t="s">
        <v>307</v>
      </c>
      <c r="B62" s="18" t="s">
        <v>44</v>
      </c>
      <c r="C62" s="18" t="s">
        <v>218</v>
      </c>
      <c r="D62" s="18" t="s">
        <v>93</v>
      </c>
      <c r="E62" s="18" t="s">
        <v>83</v>
      </c>
      <c r="F62" s="18" t="s">
        <v>94</v>
      </c>
      <c r="G62" s="18"/>
      <c r="H62" s="18" t="s">
        <v>308</v>
      </c>
      <c r="I62" s="18" t="s">
        <v>309</v>
      </c>
      <c r="J62" s="19"/>
      <c r="K62" s="19" t="s">
        <v>37</v>
      </c>
      <c r="L62" s="19"/>
      <c r="M62" s="20"/>
      <c r="N62" s="19"/>
      <c r="O62" s="19"/>
    </row>
    <row r="63" customFormat="false" ht="23.25" hidden="false" customHeight="true" outlineLevel="0" collapsed="false">
      <c r="A63" s="18" t="s">
        <v>310</v>
      </c>
      <c r="B63" s="18" t="s">
        <v>44</v>
      </c>
      <c r="C63" s="18" t="s">
        <v>218</v>
      </c>
      <c r="D63" s="18" t="s">
        <v>106</v>
      </c>
      <c r="E63" s="18" t="s">
        <v>83</v>
      </c>
      <c r="F63" s="18" t="s">
        <v>94</v>
      </c>
      <c r="G63" s="18"/>
      <c r="H63" s="18" t="s">
        <v>311</v>
      </c>
      <c r="I63" s="18" t="s">
        <v>312</v>
      </c>
      <c r="J63" s="19"/>
      <c r="K63" s="19" t="s">
        <v>37</v>
      </c>
      <c r="L63" s="19"/>
      <c r="M63" s="20"/>
      <c r="N63" s="19"/>
      <c r="O63" s="19"/>
    </row>
    <row r="64" customFormat="false" ht="15" hidden="false" customHeight="true" outlineLevel="0" collapsed="false">
      <c r="A64" s="18" t="s">
        <v>313</v>
      </c>
      <c r="B64" s="18" t="s">
        <v>44</v>
      </c>
      <c r="C64" s="18" t="s">
        <v>218</v>
      </c>
      <c r="D64" s="18" t="s">
        <v>106</v>
      </c>
      <c r="E64" s="18" t="s">
        <v>99</v>
      </c>
      <c r="F64" s="18" t="s">
        <v>94</v>
      </c>
      <c r="G64" s="18"/>
      <c r="H64" s="18" t="s">
        <v>314</v>
      </c>
      <c r="I64" s="18" t="s">
        <v>315</v>
      </c>
      <c r="J64" s="19"/>
      <c r="K64" s="19" t="s">
        <v>37</v>
      </c>
      <c r="L64" s="19"/>
      <c r="M64" s="20"/>
      <c r="N64" s="19"/>
      <c r="O64" s="19"/>
    </row>
    <row r="65" customFormat="false" ht="15" hidden="false" customHeight="true" outlineLevel="0" collapsed="false">
      <c r="A65" s="18" t="s">
        <v>316</v>
      </c>
      <c r="B65" s="18" t="s">
        <v>44</v>
      </c>
      <c r="C65" s="18" t="s">
        <v>218</v>
      </c>
      <c r="D65" s="18" t="s">
        <v>82</v>
      </c>
      <c r="E65" s="18" t="s">
        <v>83</v>
      </c>
      <c r="F65" s="18" t="s">
        <v>94</v>
      </c>
      <c r="G65" s="18"/>
      <c r="H65" s="18" t="s">
        <v>317</v>
      </c>
      <c r="I65" s="18" t="s">
        <v>318</v>
      </c>
      <c r="J65" s="19"/>
      <c r="K65" s="19" t="s">
        <v>37</v>
      </c>
      <c r="L65" s="19"/>
      <c r="M65" s="20"/>
      <c r="N65" s="19"/>
      <c r="O65" s="19"/>
    </row>
    <row r="66" customFormat="false" ht="15" hidden="false" customHeight="true" outlineLevel="0" collapsed="false">
      <c r="A66" s="18" t="s">
        <v>319</v>
      </c>
      <c r="B66" s="18" t="s">
        <v>44</v>
      </c>
      <c r="C66" s="18" t="s">
        <v>235</v>
      </c>
      <c r="D66" s="18" t="s">
        <v>93</v>
      </c>
      <c r="E66" s="18" t="s">
        <v>99</v>
      </c>
      <c r="F66" s="18" t="s">
        <v>94</v>
      </c>
      <c r="G66" s="18"/>
      <c r="H66" s="18" t="s">
        <v>320</v>
      </c>
      <c r="I66" s="18" t="s">
        <v>321</v>
      </c>
      <c r="J66" s="19"/>
      <c r="K66" s="19" t="s">
        <v>37</v>
      </c>
      <c r="L66" s="19"/>
      <c r="M66" s="20"/>
      <c r="N66" s="19"/>
      <c r="O66" s="19"/>
    </row>
    <row r="67" customFormat="false" ht="15" hidden="false" customHeight="true" outlineLevel="0" collapsed="false">
      <c r="A67" s="18" t="s">
        <v>322</v>
      </c>
      <c r="B67" s="18" t="s">
        <v>44</v>
      </c>
      <c r="C67" s="18" t="s">
        <v>75</v>
      </c>
      <c r="D67" s="18" t="s">
        <v>132</v>
      </c>
      <c r="E67" s="18" t="s">
        <v>83</v>
      </c>
      <c r="F67" s="18" t="s">
        <v>94</v>
      </c>
      <c r="G67" s="18"/>
      <c r="H67" s="18" t="s">
        <v>323</v>
      </c>
      <c r="I67" s="18" t="s">
        <v>324</v>
      </c>
      <c r="J67" s="19"/>
      <c r="K67" s="19" t="s">
        <v>37</v>
      </c>
      <c r="L67" s="19"/>
      <c r="M67" s="20"/>
      <c r="N67" s="19"/>
      <c r="O67" s="19"/>
    </row>
    <row r="68" customFormat="false" ht="15" hidden="false" customHeight="true" outlineLevel="0" collapsed="false">
      <c r="A68" s="18" t="s">
        <v>325</v>
      </c>
      <c r="B68" s="18" t="s">
        <v>44</v>
      </c>
      <c r="C68" s="18" t="s">
        <v>326</v>
      </c>
      <c r="D68" s="18" t="s">
        <v>93</v>
      </c>
      <c r="E68" s="18" t="s">
        <v>83</v>
      </c>
      <c r="F68" s="18" t="s">
        <v>94</v>
      </c>
      <c r="G68" s="18" t="s">
        <v>327</v>
      </c>
      <c r="H68" s="18" t="s">
        <v>328</v>
      </c>
      <c r="I68" s="18" t="s">
        <v>329</v>
      </c>
      <c r="J68" s="19"/>
      <c r="K68" s="19" t="s">
        <v>37</v>
      </c>
      <c r="L68" s="19"/>
      <c r="M68" s="20"/>
      <c r="N68" s="19"/>
      <c r="O68" s="19"/>
    </row>
    <row r="69" customFormat="false" ht="23.25" hidden="false" customHeight="true" outlineLevel="0" collapsed="false">
      <c r="A69" s="18" t="s">
        <v>330</v>
      </c>
      <c r="B69" s="18" t="s">
        <v>44</v>
      </c>
      <c r="C69" s="18" t="s">
        <v>326</v>
      </c>
      <c r="D69" s="18" t="s">
        <v>93</v>
      </c>
      <c r="E69" s="18" t="s">
        <v>83</v>
      </c>
      <c r="F69" s="18" t="s">
        <v>94</v>
      </c>
      <c r="G69" s="18"/>
      <c r="H69" s="18" t="s">
        <v>331</v>
      </c>
      <c r="I69" s="18" t="s">
        <v>332</v>
      </c>
      <c r="J69" s="19"/>
      <c r="K69" s="19" t="s">
        <v>37</v>
      </c>
      <c r="L69" s="19"/>
      <c r="M69" s="20"/>
      <c r="N69" s="19"/>
      <c r="O69" s="19"/>
    </row>
    <row r="70" customFormat="false" ht="15" hidden="false" customHeight="true" outlineLevel="0" collapsed="false">
      <c r="A70" s="18" t="s">
        <v>333</v>
      </c>
      <c r="B70" s="18" t="s">
        <v>44</v>
      </c>
      <c r="C70" s="18" t="s">
        <v>326</v>
      </c>
      <c r="D70" s="18" t="s">
        <v>93</v>
      </c>
      <c r="E70" s="18" t="s">
        <v>83</v>
      </c>
      <c r="F70" s="18" t="s">
        <v>94</v>
      </c>
      <c r="G70" s="18"/>
      <c r="H70" s="18" t="s">
        <v>334</v>
      </c>
      <c r="I70" s="18" t="s">
        <v>335</v>
      </c>
      <c r="J70" s="19"/>
      <c r="K70" s="19" t="s">
        <v>37</v>
      </c>
      <c r="L70" s="19"/>
      <c r="M70" s="20"/>
      <c r="N70" s="19"/>
      <c r="O70" s="19"/>
    </row>
    <row r="71" customFormat="false" ht="15" hidden="false" customHeight="true" outlineLevel="0" collapsed="false">
      <c r="A71" s="18" t="s">
        <v>336</v>
      </c>
      <c r="B71" s="18" t="s">
        <v>44</v>
      </c>
      <c r="C71" s="18" t="s">
        <v>326</v>
      </c>
      <c r="D71" s="18" t="s">
        <v>93</v>
      </c>
      <c r="E71" s="18" t="s">
        <v>83</v>
      </c>
      <c r="F71" s="18" t="s">
        <v>94</v>
      </c>
      <c r="G71" s="18"/>
      <c r="H71" s="18" t="s">
        <v>337</v>
      </c>
      <c r="I71" s="18" t="s">
        <v>338</v>
      </c>
      <c r="J71" s="19"/>
      <c r="K71" s="19" t="s">
        <v>37</v>
      </c>
      <c r="L71" s="19"/>
      <c r="M71" s="20"/>
      <c r="N71" s="19"/>
      <c r="O71" s="19"/>
    </row>
    <row r="72" customFormat="false" ht="15" hidden="false" customHeight="true" outlineLevel="0" collapsed="false">
      <c r="A72" s="18" t="s">
        <v>339</v>
      </c>
      <c r="B72" s="18" t="s">
        <v>44</v>
      </c>
      <c r="C72" s="18" t="s">
        <v>326</v>
      </c>
      <c r="D72" s="18" t="s">
        <v>82</v>
      </c>
      <c r="E72" s="18" t="s">
        <v>83</v>
      </c>
      <c r="F72" s="18" t="s">
        <v>94</v>
      </c>
      <c r="G72" s="18" t="s">
        <v>340</v>
      </c>
      <c r="H72" s="18" t="s">
        <v>341</v>
      </c>
      <c r="I72" s="18" t="s">
        <v>342</v>
      </c>
      <c r="J72" s="19"/>
      <c r="K72" s="19" t="s">
        <v>37</v>
      </c>
      <c r="L72" s="19"/>
      <c r="M72" s="20"/>
      <c r="N72" s="19"/>
      <c r="O72" s="19"/>
    </row>
    <row r="73" customFormat="false" ht="15" hidden="false" customHeight="true" outlineLevel="0" collapsed="false">
      <c r="A73" s="18" t="s">
        <v>343</v>
      </c>
      <c r="B73" s="18" t="s">
        <v>44</v>
      </c>
      <c r="C73" s="18" t="s">
        <v>326</v>
      </c>
      <c r="D73" s="18" t="s">
        <v>93</v>
      </c>
      <c r="E73" s="18" t="s">
        <v>99</v>
      </c>
      <c r="F73" s="18" t="s">
        <v>94</v>
      </c>
      <c r="G73" s="18"/>
      <c r="H73" s="18" t="s">
        <v>344</v>
      </c>
      <c r="I73" s="18" t="s">
        <v>345</v>
      </c>
      <c r="J73" s="19"/>
      <c r="K73" s="19" t="s">
        <v>37</v>
      </c>
      <c r="L73" s="19"/>
      <c r="M73" s="20"/>
      <c r="N73" s="19"/>
      <c r="O73" s="19"/>
    </row>
    <row r="74" customFormat="false" ht="15" hidden="false" customHeight="true" outlineLevel="0" collapsed="false">
      <c r="A74" s="18" t="s">
        <v>346</v>
      </c>
      <c r="B74" s="18" t="s">
        <v>44</v>
      </c>
      <c r="C74" s="18" t="s">
        <v>326</v>
      </c>
      <c r="D74" s="18" t="s">
        <v>93</v>
      </c>
      <c r="E74" s="18" t="s">
        <v>99</v>
      </c>
      <c r="F74" s="18" t="s">
        <v>94</v>
      </c>
      <c r="G74" s="18"/>
      <c r="H74" s="18" t="s">
        <v>347</v>
      </c>
      <c r="I74" s="18" t="s">
        <v>348</v>
      </c>
      <c r="J74" s="19"/>
      <c r="K74" s="19" t="s">
        <v>37</v>
      </c>
      <c r="L74" s="19"/>
      <c r="M74" s="20"/>
      <c r="N74" s="19"/>
      <c r="O74" s="19"/>
    </row>
    <row r="75" customFormat="false" ht="15" hidden="false" customHeight="true" outlineLevel="0" collapsed="false">
      <c r="A75" s="18" t="s">
        <v>349</v>
      </c>
      <c r="B75" s="18" t="s">
        <v>44</v>
      </c>
      <c r="C75" s="18" t="s">
        <v>254</v>
      </c>
      <c r="D75" s="18" t="s">
        <v>82</v>
      </c>
      <c r="E75" s="18" t="s">
        <v>83</v>
      </c>
      <c r="F75" s="18" t="s">
        <v>94</v>
      </c>
      <c r="G75" s="18" t="s">
        <v>350</v>
      </c>
      <c r="H75" s="18" t="s">
        <v>351</v>
      </c>
      <c r="I75" s="18" t="s">
        <v>352</v>
      </c>
      <c r="J75" s="19"/>
      <c r="K75" s="19" t="s">
        <v>37</v>
      </c>
      <c r="L75" s="19"/>
      <c r="M75" s="20"/>
      <c r="N75" s="19"/>
      <c r="O75" s="19"/>
    </row>
    <row r="76" customFormat="false" ht="15" hidden="false" customHeight="true" outlineLevel="0" collapsed="false">
      <c r="A76" s="18" t="s">
        <v>353</v>
      </c>
      <c r="B76" s="18" t="s">
        <v>44</v>
      </c>
      <c r="C76" s="18" t="s">
        <v>254</v>
      </c>
      <c r="D76" s="18" t="s">
        <v>93</v>
      </c>
      <c r="E76" s="18" t="s">
        <v>99</v>
      </c>
      <c r="F76" s="18" t="s">
        <v>94</v>
      </c>
      <c r="G76" s="18" t="s">
        <v>354</v>
      </c>
      <c r="H76" s="18" t="s">
        <v>351</v>
      </c>
      <c r="I76" s="18" t="s">
        <v>355</v>
      </c>
      <c r="J76" s="19"/>
      <c r="K76" s="19" t="s">
        <v>37</v>
      </c>
      <c r="L76" s="19"/>
      <c r="M76" s="20"/>
      <c r="N76" s="19"/>
      <c r="O76" s="19"/>
    </row>
    <row r="77" customFormat="false" ht="15" hidden="false" customHeight="true" outlineLevel="0" collapsed="false">
      <c r="A77" s="18" t="s">
        <v>356</v>
      </c>
      <c r="B77" s="18" t="s">
        <v>44</v>
      </c>
      <c r="C77" s="18" t="s">
        <v>357</v>
      </c>
      <c r="D77" s="18" t="s">
        <v>93</v>
      </c>
      <c r="E77" s="18" t="s">
        <v>111</v>
      </c>
      <c r="F77" s="18" t="s">
        <v>94</v>
      </c>
      <c r="G77" s="18"/>
      <c r="H77" s="18" t="s">
        <v>358</v>
      </c>
      <c r="I77" s="18" t="s">
        <v>359</v>
      </c>
      <c r="J77" s="19"/>
      <c r="K77" s="19" t="s">
        <v>37</v>
      </c>
      <c r="L77" s="19"/>
      <c r="M77" s="20"/>
      <c r="N77" s="19"/>
      <c r="O77" s="19"/>
    </row>
    <row r="78" customFormat="false" ht="15" hidden="false" customHeight="true" outlineLevel="0" collapsed="false">
      <c r="A78" s="18" t="s">
        <v>360</v>
      </c>
      <c r="B78" s="18" t="s">
        <v>45</v>
      </c>
      <c r="C78" s="18" t="s">
        <v>214</v>
      </c>
      <c r="D78" s="18" t="s">
        <v>93</v>
      </c>
      <c r="E78" s="18" t="s">
        <v>83</v>
      </c>
      <c r="F78" s="18" t="s">
        <v>94</v>
      </c>
      <c r="G78" s="18"/>
      <c r="H78" s="18" t="s">
        <v>361</v>
      </c>
      <c r="I78" s="18" t="s">
        <v>362</v>
      </c>
      <c r="J78" s="19"/>
      <c r="K78" s="19" t="s">
        <v>37</v>
      </c>
      <c r="L78" s="19"/>
      <c r="M78" s="20"/>
      <c r="N78" s="19"/>
      <c r="O78" s="19"/>
    </row>
    <row r="79" customFormat="false" ht="15" hidden="false" customHeight="true" outlineLevel="0" collapsed="false">
      <c r="A79" s="18" t="s">
        <v>363</v>
      </c>
      <c r="B79" s="18" t="s">
        <v>45</v>
      </c>
      <c r="C79" s="18" t="s">
        <v>218</v>
      </c>
      <c r="D79" s="18" t="s">
        <v>93</v>
      </c>
      <c r="E79" s="18" t="s">
        <v>83</v>
      </c>
      <c r="F79" s="18" t="s">
        <v>94</v>
      </c>
      <c r="G79" s="18"/>
      <c r="H79" s="18" t="s">
        <v>364</v>
      </c>
      <c r="I79" s="18" t="s">
        <v>271</v>
      </c>
      <c r="J79" s="19"/>
      <c r="K79" s="19" t="s">
        <v>37</v>
      </c>
      <c r="L79" s="19"/>
      <c r="M79" s="20"/>
      <c r="N79" s="19"/>
      <c r="O79" s="19"/>
    </row>
    <row r="80" customFormat="false" ht="15" hidden="false" customHeight="true" outlineLevel="0" collapsed="false">
      <c r="A80" s="18" t="s">
        <v>365</v>
      </c>
      <c r="B80" s="18" t="s">
        <v>45</v>
      </c>
      <c r="C80" s="18" t="s">
        <v>218</v>
      </c>
      <c r="D80" s="18" t="s">
        <v>106</v>
      </c>
      <c r="E80" s="18" t="s">
        <v>83</v>
      </c>
      <c r="F80" s="18" t="s">
        <v>94</v>
      </c>
      <c r="G80" s="18"/>
      <c r="H80" s="18" t="s">
        <v>366</v>
      </c>
      <c r="I80" s="18" t="s">
        <v>367</v>
      </c>
      <c r="J80" s="19"/>
      <c r="K80" s="19" t="s">
        <v>37</v>
      </c>
      <c r="L80" s="19"/>
      <c r="M80" s="20"/>
      <c r="N80" s="19"/>
      <c r="O80" s="19"/>
    </row>
    <row r="81" customFormat="false" ht="23.25" hidden="false" customHeight="true" outlineLevel="0" collapsed="false">
      <c r="A81" s="18" t="s">
        <v>368</v>
      </c>
      <c r="B81" s="18" t="s">
        <v>45</v>
      </c>
      <c r="C81" s="18" t="s">
        <v>218</v>
      </c>
      <c r="D81" s="18" t="s">
        <v>93</v>
      </c>
      <c r="E81" s="18" t="s">
        <v>99</v>
      </c>
      <c r="F81" s="18" t="s">
        <v>94</v>
      </c>
      <c r="G81" s="18"/>
      <c r="H81" s="18" t="s">
        <v>369</v>
      </c>
      <c r="I81" s="18" t="s">
        <v>370</v>
      </c>
      <c r="J81" s="19"/>
      <c r="K81" s="19" t="s">
        <v>37</v>
      </c>
      <c r="L81" s="19"/>
      <c r="M81" s="20"/>
      <c r="N81" s="19"/>
      <c r="O81" s="19" t="s">
        <v>371</v>
      </c>
    </row>
    <row r="82" customFormat="false" ht="15" hidden="false" customHeight="true" outlineLevel="0" collapsed="false">
      <c r="A82" s="18" t="s">
        <v>372</v>
      </c>
      <c r="B82" s="18" t="s">
        <v>45</v>
      </c>
      <c r="C82" s="18" t="s">
        <v>75</v>
      </c>
      <c r="D82" s="18" t="s">
        <v>93</v>
      </c>
      <c r="E82" s="18" t="s">
        <v>99</v>
      </c>
      <c r="F82" s="18" t="s">
        <v>94</v>
      </c>
      <c r="G82" s="18"/>
      <c r="H82" s="18" t="s">
        <v>373</v>
      </c>
      <c r="I82" s="18" t="s">
        <v>374</v>
      </c>
      <c r="J82" s="19"/>
      <c r="K82" s="19" t="s">
        <v>37</v>
      </c>
      <c r="L82" s="19"/>
      <c r="M82" s="20"/>
      <c r="N82" s="19"/>
      <c r="O82" s="19"/>
    </row>
    <row r="83" customFormat="false" ht="15" hidden="false" customHeight="true" outlineLevel="0" collapsed="false">
      <c r="A83" s="18" t="s">
        <v>375</v>
      </c>
      <c r="B83" s="18" t="s">
        <v>45</v>
      </c>
      <c r="C83" s="18" t="s">
        <v>246</v>
      </c>
      <c r="D83" s="18" t="s">
        <v>110</v>
      </c>
      <c r="E83" s="18" t="s">
        <v>111</v>
      </c>
      <c r="F83" s="18" t="s">
        <v>94</v>
      </c>
      <c r="G83" s="18"/>
      <c r="H83" s="18" t="s">
        <v>247</v>
      </c>
      <c r="I83" s="18" t="s">
        <v>376</v>
      </c>
      <c r="J83" s="19"/>
      <c r="K83" s="19" t="s">
        <v>37</v>
      </c>
      <c r="L83" s="19"/>
      <c r="M83" s="20"/>
      <c r="N83" s="19"/>
      <c r="O83" s="19"/>
    </row>
    <row r="84" customFormat="false" ht="23.25" hidden="false" customHeight="true" outlineLevel="0" collapsed="false">
      <c r="A84" s="18" t="s">
        <v>377</v>
      </c>
      <c r="B84" s="18" t="s">
        <v>45</v>
      </c>
      <c r="C84" s="18" t="s">
        <v>378</v>
      </c>
      <c r="D84" s="18" t="s">
        <v>93</v>
      </c>
      <c r="E84" s="18" t="s">
        <v>83</v>
      </c>
      <c r="F84" s="18" t="s">
        <v>94</v>
      </c>
      <c r="G84" s="18" t="s">
        <v>379</v>
      </c>
      <c r="H84" s="18" t="s">
        <v>380</v>
      </c>
      <c r="I84" s="18" t="s">
        <v>381</v>
      </c>
      <c r="J84" s="19"/>
      <c r="K84" s="19" t="s">
        <v>37</v>
      </c>
      <c r="L84" s="19"/>
      <c r="M84" s="20"/>
      <c r="N84" s="19"/>
      <c r="O84" s="19"/>
    </row>
    <row r="85" customFormat="false" ht="15" hidden="false" customHeight="true" outlineLevel="0" collapsed="false">
      <c r="A85" s="18" t="s">
        <v>382</v>
      </c>
      <c r="B85" s="18" t="s">
        <v>45</v>
      </c>
      <c r="C85" s="18" t="s">
        <v>378</v>
      </c>
      <c r="D85" s="18" t="s">
        <v>93</v>
      </c>
      <c r="E85" s="18" t="s">
        <v>83</v>
      </c>
      <c r="F85" s="18" t="s">
        <v>94</v>
      </c>
      <c r="G85" s="18"/>
      <c r="H85" s="18" t="s">
        <v>383</v>
      </c>
      <c r="I85" s="18" t="s">
        <v>384</v>
      </c>
      <c r="J85" s="19"/>
      <c r="K85" s="19" t="s">
        <v>37</v>
      </c>
      <c r="L85" s="19"/>
      <c r="M85" s="20"/>
      <c r="N85" s="19"/>
      <c r="O85" s="19"/>
    </row>
    <row r="86" customFormat="false" ht="15" hidden="false" customHeight="true" outlineLevel="0" collapsed="false">
      <c r="A86" s="18" t="s">
        <v>385</v>
      </c>
      <c r="B86" s="18" t="s">
        <v>45</v>
      </c>
      <c r="C86" s="18" t="s">
        <v>378</v>
      </c>
      <c r="D86" s="18" t="s">
        <v>82</v>
      </c>
      <c r="E86" s="18" t="s">
        <v>83</v>
      </c>
      <c r="F86" s="18" t="s">
        <v>94</v>
      </c>
      <c r="G86" s="18"/>
      <c r="H86" s="18" t="s">
        <v>386</v>
      </c>
      <c r="I86" s="18" t="s">
        <v>387</v>
      </c>
      <c r="J86" s="19"/>
      <c r="K86" s="19" t="s">
        <v>37</v>
      </c>
      <c r="L86" s="19"/>
      <c r="M86" s="20"/>
      <c r="N86" s="19"/>
      <c r="O86" s="19"/>
    </row>
    <row r="87" customFormat="false" ht="15" hidden="false" customHeight="true" outlineLevel="0" collapsed="false">
      <c r="A87" s="18" t="s">
        <v>388</v>
      </c>
      <c r="B87" s="18" t="s">
        <v>45</v>
      </c>
      <c r="C87" s="18" t="s">
        <v>378</v>
      </c>
      <c r="D87" s="18" t="s">
        <v>93</v>
      </c>
      <c r="E87" s="18" t="s">
        <v>99</v>
      </c>
      <c r="F87" s="18" t="s">
        <v>94</v>
      </c>
      <c r="G87" s="18" t="s">
        <v>389</v>
      </c>
      <c r="H87" s="18" t="s">
        <v>390</v>
      </c>
      <c r="I87" s="18" t="s">
        <v>391</v>
      </c>
      <c r="J87" s="19"/>
      <c r="K87" s="19" t="s">
        <v>37</v>
      </c>
      <c r="L87" s="19"/>
      <c r="M87" s="20"/>
      <c r="N87" s="19"/>
      <c r="O87" s="19"/>
    </row>
    <row r="88" customFormat="false" ht="15" hidden="false" customHeight="true" outlineLevel="0" collapsed="false">
      <c r="A88" s="18" t="s">
        <v>392</v>
      </c>
      <c r="B88" s="18" t="s">
        <v>45</v>
      </c>
      <c r="C88" s="18" t="s">
        <v>378</v>
      </c>
      <c r="D88" s="18" t="s">
        <v>93</v>
      </c>
      <c r="E88" s="18" t="s">
        <v>99</v>
      </c>
      <c r="F88" s="18" t="s">
        <v>94</v>
      </c>
      <c r="G88" s="18"/>
      <c r="H88" s="18" t="s">
        <v>393</v>
      </c>
      <c r="I88" s="18" t="s">
        <v>295</v>
      </c>
      <c r="J88" s="19"/>
      <c r="K88" s="19" t="s">
        <v>37</v>
      </c>
      <c r="L88" s="19"/>
      <c r="M88" s="20"/>
      <c r="N88" s="19"/>
      <c r="O88" s="19"/>
    </row>
    <row r="89" customFormat="false" ht="15" hidden="false" customHeight="true" outlineLevel="0" collapsed="false">
      <c r="A89" s="18" t="s">
        <v>394</v>
      </c>
      <c r="B89" s="18" t="s">
        <v>45</v>
      </c>
      <c r="C89" s="18" t="s">
        <v>395</v>
      </c>
      <c r="D89" s="18" t="s">
        <v>110</v>
      </c>
      <c r="E89" s="18" t="s">
        <v>111</v>
      </c>
      <c r="F89" s="18" t="s">
        <v>94</v>
      </c>
      <c r="G89" s="18"/>
      <c r="H89" s="18" t="s">
        <v>396</v>
      </c>
      <c r="I89" s="18" t="s">
        <v>397</v>
      </c>
      <c r="J89" s="19"/>
      <c r="K89" s="19" t="s">
        <v>37</v>
      </c>
      <c r="L89" s="19"/>
      <c r="M89" s="20"/>
      <c r="N89" s="19"/>
      <c r="O89" s="19"/>
    </row>
    <row r="90" customFormat="false" ht="15" hidden="false" customHeight="true" outlineLevel="0" collapsed="false">
      <c r="A90" s="18" t="s">
        <v>398</v>
      </c>
      <c r="B90" s="18" t="s">
        <v>45</v>
      </c>
      <c r="C90" s="18" t="s">
        <v>254</v>
      </c>
      <c r="D90" s="18" t="s">
        <v>93</v>
      </c>
      <c r="E90" s="18" t="s">
        <v>83</v>
      </c>
      <c r="F90" s="18" t="s">
        <v>94</v>
      </c>
      <c r="G90" s="18" t="s">
        <v>399</v>
      </c>
      <c r="H90" s="18" t="s">
        <v>400</v>
      </c>
      <c r="I90" s="18" t="s">
        <v>401</v>
      </c>
      <c r="J90" s="19"/>
      <c r="K90" s="19" t="s">
        <v>37</v>
      </c>
      <c r="L90" s="19"/>
      <c r="M90" s="20"/>
      <c r="N90" s="19"/>
      <c r="O90" s="19" t="s">
        <v>371</v>
      </c>
    </row>
    <row r="91" customFormat="false" ht="15" hidden="false" customHeight="true" outlineLevel="0" collapsed="false">
      <c r="A91" s="18" t="s">
        <v>402</v>
      </c>
      <c r="B91" s="18" t="s">
        <v>45</v>
      </c>
      <c r="C91" s="18" t="s">
        <v>106</v>
      </c>
      <c r="D91" s="18" t="s">
        <v>403</v>
      </c>
      <c r="E91" s="18" t="s">
        <v>111</v>
      </c>
      <c r="F91" s="18" t="s">
        <v>94</v>
      </c>
      <c r="G91" s="18" t="s">
        <v>404</v>
      </c>
      <c r="H91" s="18" t="s">
        <v>405</v>
      </c>
      <c r="I91" s="18" t="s">
        <v>406</v>
      </c>
      <c r="J91" s="19"/>
      <c r="K91" s="19" t="s">
        <v>37</v>
      </c>
      <c r="L91" s="19"/>
      <c r="M91" s="20"/>
      <c r="N91" s="19"/>
      <c r="O91" s="19"/>
    </row>
    <row r="92" customFormat="false" ht="15" hidden="false" customHeight="true" outlineLevel="0" collapsed="false">
      <c r="A92" s="18" t="s">
        <v>407</v>
      </c>
      <c r="B92" s="18" t="s">
        <v>45</v>
      </c>
      <c r="C92" s="18" t="s">
        <v>250</v>
      </c>
      <c r="D92" s="18" t="s">
        <v>93</v>
      </c>
      <c r="E92" s="18" t="s">
        <v>111</v>
      </c>
      <c r="F92" s="18" t="s">
        <v>94</v>
      </c>
      <c r="G92" s="18"/>
      <c r="H92" s="18" t="s">
        <v>408</v>
      </c>
      <c r="I92" s="18" t="s">
        <v>409</v>
      </c>
      <c r="J92" s="19"/>
      <c r="K92" s="19" t="s">
        <v>37</v>
      </c>
      <c r="L92" s="19"/>
      <c r="M92" s="20"/>
      <c r="N92" s="19"/>
      <c r="O92" s="19"/>
    </row>
    <row r="93" customFormat="false" ht="23.25" hidden="false" customHeight="true" outlineLevel="0" collapsed="false">
      <c r="A93" s="18" t="s">
        <v>410</v>
      </c>
      <c r="B93" s="18" t="s">
        <v>45</v>
      </c>
      <c r="C93" s="18" t="s">
        <v>411</v>
      </c>
      <c r="D93" s="18" t="s">
        <v>132</v>
      </c>
      <c r="E93" s="18" t="s">
        <v>83</v>
      </c>
      <c r="F93" s="18" t="s">
        <v>412</v>
      </c>
      <c r="G93" s="18" t="s">
        <v>413</v>
      </c>
      <c r="H93" s="18" t="s">
        <v>414</v>
      </c>
      <c r="I93" s="18" t="s">
        <v>415</v>
      </c>
      <c r="J93" s="19"/>
      <c r="K93" s="19" t="s">
        <v>37</v>
      </c>
      <c r="L93" s="19"/>
      <c r="M93" s="20"/>
      <c r="N93" s="19"/>
      <c r="O93" s="19"/>
    </row>
    <row r="94" customFormat="false" ht="15" hidden="false" customHeight="true" outlineLevel="0" collapsed="false">
      <c r="A94" s="18" t="s">
        <v>416</v>
      </c>
      <c r="B94" s="18" t="s">
        <v>46</v>
      </c>
      <c r="C94" s="18" t="s">
        <v>417</v>
      </c>
      <c r="D94" s="18" t="s">
        <v>93</v>
      </c>
      <c r="E94" s="18" t="s">
        <v>83</v>
      </c>
      <c r="F94" s="18" t="s">
        <v>94</v>
      </c>
      <c r="G94" s="18"/>
      <c r="H94" s="18" t="s">
        <v>418</v>
      </c>
      <c r="I94" s="18" t="s">
        <v>419</v>
      </c>
      <c r="J94" s="19"/>
      <c r="K94" s="19" t="s">
        <v>37</v>
      </c>
      <c r="L94" s="19"/>
      <c r="M94" s="20"/>
      <c r="N94" s="19"/>
      <c r="O94" s="19"/>
    </row>
    <row r="95" customFormat="false" ht="15" hidden="false" customHeight="true" outlineLevel="0" collapsed="false">
      <c r="A95" s="18" t="s">
        <v>420</v>
      </c>
      <c r="B95" s="18" t="s">
        <v>46</v>
      </c>
      <c r="C95" s="18" t="s">
        <v>417</v>
      </c>
      <c r="D95" s="18" t="s">
        <v>93</v>
      </c>
      <c r="E95" s="18" t="s">
        <v>83</v>
      </c>
      <c r="F95" s="18" t="s">
        <v>94</v>
      </c>
      <c r="G95" s="18"/>
      <c r="H95" s="18" t="s">
        <v>421</v>
      </c>
      <c r="I95" s="18" t="s">
        <v>422</v>
      </c>
      <c r="J95" s="19"/>
      <c r="K95" s="19" t="s">
        <v>37</v>
      </c>
      <c r="L95" s="19"/>
      <c r="M95" s="20"/>
      <c r="N95" s="19"/>
      <c r="O95" s="19"/>
    </row>
    <row r="96" customFormat="false" ht="23.25" hidden="false" customHeight="true" outlineLevel="0" collapsed="false">
      <c r="A96" s="18" t="s">
        <v>423</v>
      </c>
      <c r="B96" s="18" t="s">
        <v>46</v>
      </c>
      <c r="C96" s="18" t="s">
        <v>417</v>
      </c>
      <c r="D96" s="18" t="s">
        <v>93</v>
      </c>
      <c r="E96" s="18" t="s">
        <v>99</v>
      </c>
      <c r="F96" s="18" t="s">
        <v>94</v>
      </c>
      <c r="G96" s="18"/>
      <c r="H96" s="18" t="s">
        <v>424</v>
      </c>
      <c r="I96" s="18" t="s">
        <v>292</v>
      </c>
      <c r="J96" s="19"/>
      <c r="K96" s="19" t="s">
        <v>37</v>
      </c>
      <c r="L96" s="19"/>
      <c r="M96" s="20"/>
      <c r="N96" s="19"/>
      <c r="O96" s="19"/>
    </row>
    <row r="97" customFormat="false" ht="34.5" hidden="false" customHeight="true" outlineLevel="0" collapsed="false">
      <c r="A97" s="18" t="s">
        <v>425</v>
      </c>
      <c r="B97" s="18" t="s">
        <v>46</v>
      </c>
      <c r="C97" s="18" t="s">
        <v>417</v>
      </c>
      <c r="D97" s="18" t="s">
        <v>93</v>
      </c>
      <c r="E97" s="18" t="s">
        <v>83</v>
      </c>
      <c r="F97" s="18" t="s">
        <v>94</v>
      </c>
      <c r="G97" s="18" t="s">
        <v>426</v>
      </c>
      <c r="H97" s="18" t="s">
        <v>427</v>
      </c>
      <c r="I97" s="18" t="s">
        <v>428</v>
      </c>
      <c r="J97" s="19"/>
      <c r="K97" s="19" t="s">
        <v>37</v>
      </c>
      <c r="L97" s="19"/>
      <c r="M97" s="20"/>
      <c r="N97" s="19"/>
      <c r="O97" s="19"/>
    </row>
    <row r="98" customFormat="false" ht="15" hidden="false" customHeight="true" outlineLevel="0" collapsed="false">
      <c r="A98" s="18" t="s">
        <v>429</v>
      </c>
      <c r="B98" s="18" t="s">
        <v>46</v>
      </c>
      <c r="C98" s="18" t="s">
        <v>417</v>
      </c>
      <c r="D98" s="18" t="s">
        <v>93</v>
      </c>
      <c r="E98" s="18" t="s">
        <v>111</v>
      </c>
      <c r="F98" s="18" t="s">
        <v>94</v>
      </c>
      <c r="G98" s="18"/>
      <c r="H98" s="18" t="s">
        <v>197</v>
      </c>
      <c r="I98" s="18" t="s">
        <v>430</v>
      </c>
      <c r="J98" s="19"/>
      <c r="K98" s="19" t="s">
        <v>37</v>
      </c>
      <c r="L98" s="19"/>
      <c r="M98" s="20"/>
      <c r="N98" s="19"/>
      <c r="O98" s="19"/>
    </row>
    <row r="99" customFormat="false" ht="15" hidden="false" customHeight="true" outlineLevel="0" collapsed="false">
      <c r="A99" s="18" t="s">
        <v>431</v>
      </c>
      <c r="B99" s="18" t="s">
        <v>46</v>
      </c>
      <c r="C99" s="18" t="s">
        <v>432</v>
      </c>
      <c r="D99" s="18" t="s">
        <v>106</v>
      </c>
      <c r="E99" s="18" t="s">
        <v>83</v>
      </c>
      <c r="F99" s="18" t="s">
        <v>94</v>
      </c>
      <c r="G99" s="18"/>
      <c r="H99" s="18" t="s">
        <v>433</v>
      </c>
      <c r="I99" s="18" t="s">
        <v>434</v>
      </c>
      <c r="J99" s="19"/>
      <c r="K99" s="19" t="s">
        <v>37</v>
      </c>
      <c r="L99" s="19"/>
      <c r="M99" s="20"/>
      <c r="N99" s="19"/>
      <c r="O99" s="19"/>
    </row>
    <row r="100" customFormat="false" ht="15" hidden="false" customHeight="true" outlineLevel="0" collapsed="false">
      <c r="A100" s="18" t="s">
        <v>435</v>
      </c>
      <c r="B100" s="18" t="s">
        <v>46</v>
      </c>
      <c r="C100" s="18" t="s">
        <v>432</v>
      </c>
      <c r="D100" s="18" t="s">
        <v>93</v>
      </c>
      <c r="E100" s="18" t="s">
        <v>83</v>
      </c>
      <c r="F100" s="18" t="s">
        <v>94</v>
      </c>
      <c r="G100" s="18"/>
      <c r="H100" s="18" t="s">
        <v>436</v>
      </c>
      <c r="I100" s="18" t="s">
        <v>437</v>
      </c>
      <c r="J100" s="19"/>
      <c r="K100" s="19" t="s">
        <v>37</v>
      </c>
      <c r="L100" s="19"/>
      <c r="M100" s="20"/>
      <c r="N100" s="19"/>
      <c r="O100" s="19"/>
    </row>
    <row r="101" customFormat="false" ht="15" hidden="false" customHeight="true" outlineLevel="0" collapsed="false">
      <c r="A101" s="18" t="s">
        <v>438</v>
      </c>
      <c r="B101" s="18" t="s">
        <v>46</v>
      </c>
      <c r="C101" s="18" t="s">
        <v>432</v>
      </c>
      <c r="D101" s="18" t="s">
        <v>93</v>
      </c>
      <c r="E101" s="18" t="s">
        <v>83</v>
      </c>
      <c r="F101" s="18" t="s">
        <v>94</v>
      </c>
      <c r="G101" s="18"/>
      <c r="H101" s="18" t="s">
        <v>439</v>
      </c>
      <c r="I101" s="18" t="s">
        <v>440</v>
      </c>
      <c r="J101" s="19"/>
      <c r="K101" s="19" t="s">
        <v>37</v>
      </c>
      <c r="L101" s="19"/>
      <c r="M101" s="20"/>
      <c r="N101" s="19"/>
      <c r="O101" s="19"/>
    </row>
    <row r="102" customFormat="false" ht="15" hidden="false" customHeight="true" outlineLevel="0" collapsed="false">
      <c r="A102" s="18" t="s">
        <v>441</v>
      </c>
      <c r="B102" s="18" t="s">
        <v>46</v>
      </c>
      <c r="C102" s="18" t="s">
        <v>432</v>
      </c>
      <c r="D102" s="18" t="s">
        <v>106</v>
      </c>
      <c r="E102" s="18" t="s">
        <v>99</v>
      </c>
      <c r="F102" s="18" t="s">
        <v>94</v>
      </c>
      <c r="G102" s="18"/>
      <c r="H102" s="18" t="s">
        <v>442</v>
      </c>
      <c r="I102" s="18" t="s">
        <v>443</v>
      </c>
      <c r="J102" s="19"/>
      <c r="K102" s="19" t="s">
        <v>37</v>
      </c>
      <c r="L102" s="19"/>
      <c r="M102" s="20"/>
      <c r="N102" s="19"/>
      <c r="O102" s="19"/>
    </row>
    <row r="103" customFormat="false" ht="15" hidden="false" customHeight="true" outlineLevel="0" collapsed="false">
      <c r="A103" s="18" t="s">
        <v>444</v>
      </c>
      <c r="B103" s="18" t="s">
        <v>46</v>
      </c>
      <c r="C103" s="18" t="s">
        <v>432</v>
      </c>
      <c r="D103" s="18" t="s">
        <v>106</v>
      </c>
      <c r="E103" s="18" t="s">
        <v>83</v>
      </c>
      <c r="F103" s="18" t="s">
        <v>94</v>
      </c>
      <c r="G103" s="18"/>
      <c r="H103" s="18" t="s">
        <v>445</v>
      </c>
      <c r="I103" s="18" t="s">
        <v>446</v>
      </c>
      <c r="J103" s="19"/>
      <c r="K103" s="19" t="s">
        <v>37</v>
      </c>
      <c r="L103" s="19"/>
      <c r="M103" s="20"/>
      <c r="N103" s="19"/>
      <c r="O103" s="19"/>
    </row>
    <row r="104" customFormat="false" ht="15" hidden="false" customHeight="true" outlineLevel="0" collapsed="false">
      <c r="A104" s="18" t="s">
        <v>447</v>
      </c>
      <c r="B104" s="18" t="s">
        <v>46</v>
      </c>
      <c r="C104" s="18" t="s">
        <v>432</v>
      </c>
      <c r="D104" s="18" t="s">
        <v>93</v>
      </c>
      <c r="E104" s="18" t="s">
        <v>99</v>
      </c>
      <c r="F104" s="18" t="s">
        <v>94</v>
      </c>
      <c r="G104" s="18"/>
      <c r="H104" s="18" t="s">
        <v>448</v>
      </c>
      <c r="I104" s="18" t="s">
        <v>449</v>
      </c>
      <c r="J104" s="19"/>
      <c r="K104" s="19" t="s">
        <v>37</v>
      </c>
      <c r="L104" s="19"/>
      <c r="M104" s="20"/>
      <c r="N104" s="19"/>
      <c r="O104" s="19"/>
    </row>
    <row r="105" customFormat="false" ht="15" hidden="false" customHeight="true" outlineLevel="0" collapsed="false">
      <c r="A105" s="18" t="s">
        <v>450</v>
      </c>
      <c r="B105" s="18" t="s">
        <v>46</v>
      </c>
      <c r="C105" s="18" t="s">
        <v>432</v>
      </c>
      <c r="D105" s="18" t="s">
        <v>93</v>
      </c>
      <c r="E105" s="18" t="s">
        <v>111</v>
      </c>
      <c r="F105" s="18" t="s">
        <v>94</v>
      </c>
      <c r="G105" s="18"/>
      <c r="H105" s="18" t="s">
        <v>451</v>
      </c>
      <c r="I105" s="18" t="s">
        <v>452</v>
      </c>
      <c r="J105" s="19"/>
      <c r="K105" s="19" t="s">
        <v>37</v>
      </c>
      <c r="L105" s="19"/>
      <c r="M105" s="20"/>
      <c r="N105" s="19"/>
      <c r="O105" s="19"/>
    </row>
    <row r="106" customFormat="false" ht="15" hidden="false" customHeight="true" outlineLevel="0" collapsed="false">
      <c r="A106" s="18" t="s">
        <v>453</v>
      </c>
      <c r="B106" s="18" t="s">
        <v>46</v>
      </c>
      <c r="C106" s="18" t="s">
        <v>432</v>
      </c>
      <c r="D106" s="18" t="s">
        <v>106</v>
      </c>
      <c r="E106" s="18" t="s">
        <v>99</v>
      </c>
      <c r="F106" s="18" t="s">
        <v>94</v>
      </c>
      <c r="G106" s="18"/>
      <c r="H106" s="18" t="s">
        <v>454</v>
      </c>
      <c r="I106" s="18" t="s">
        <v>455</v>
      </c>
      <c r="J106" s="19"/>
      <c r="K106" s="19" t="s">
        <v>37</v>
      </c>
      <c r="L106" s="19"/>
      <c r="M106" s="20"/>
      <c r="N106" s="19"/>
      <c r="O106" s="19"/>
    </row>
    <row r="107" customFormat="false" ht="15" hidden="false" customHeight="true" outlineLevel="0" collapsed="false">
      <c r="A107" s="18" t="s">
        <v>456</v>
      </c>
      <c r="B107" s="18" t="s">
        <v>46</v>
      </c>
      <c r="C107" s="18" t="s">
        <v>432</v>
      </c>
      <c r="D107" s="18" t="s">
        <v>93</v>
      </c>
      <c r="E107" s="18" t="s">
        <v>99</v>
      </c>
      <c r="F107" s="18" t="s">
        <v>94</v>
      </c>
      <c r="G107" s="18"/>
      <c r="H107" s="18" t="s">
        <v>457</v>
      </c>
      <c r="I107" s="18" t="s">
        <v>458</v>
      </c>
      <c r="J107" s="19"/>
      <c r="K107" s="19" t="s">
        <v>37</v>
      </c>
      <c r="L107" s="19"/>
      <c r="M107" s="20"/>
      <c r="N107" s="19"/>
      <c r="O107" s="19"/>
    </row>
    <row r="108" customFormat="false" ht="23.25" hidden="false" customHeight="true" outlineLevel="0" collapsed="false">
      <c r="A108" s="18" t="s">
        <v>459</v>
      </c>
      <c r="B108" s="18" t="s">
        <v>46</v>
      </c>
      <c r="C108" s="18" t="s">
        <v>432</v>
      </c>
      <c r="D108" s="18" t="s">
        <v>93</v>
      </c>
      <c r="E108" s="18" t="s">
        <v>99</v>
      </c>
      <c r="F108" s="18" t="s">
        <v>94</v>
      </c>
      <c r="G108" s="18"/>
      <c r="H108" s="18" t="s">
        <v>460</v>
      </c>
      <c r="I108" s="18" t="s">
        <v>461</v>
      </c>
      <c r="J108" s="19"/>
      <c r="K108" s="19" t="s">
        <v>37</v>
      </c>
      <c r="L108" s="19"/>
      <c r="M108" s="20"/>
      <c r="N108" s="19"/>
      <c r="O108" s="19" t="s">
        <v>462</v>
      </c>
    </row>
    <row r="109" customFormat="false" ht="15" hidden="false" customHeight="true" outlineLevel="0" collapsed="false">
      <c r="A109" s="18" t="s">
        <v>463</v>
      </c>
      <c r="B109" s="18" t="s">
        <v>46</v>
      </c>
      <c r="C109" s="18" t="s">
        <v>235</v>
      </c>
      <c r="D109" s="18" t="s">
        <v>93</v>
      </c>
      <c r="E109" s="18" t="s">
        <v>83</v>
      </c>
      <c r="F109" s="18" t="s">
        <v>94</v>
      </c>
      <c r="G109" s="18" t="s">
        <v>464</v>
      </c>
      <c r="H109" s="18" t="s">
        <v>465</v>
      </c>
      <c r="I109" s="18" t="s">
        <v>466</v>
      </c>
      <c r="J109" s="19"/>
      <c r="K109" s="19" t="s">
        <v>37</v>
      </c>
      <c r="L109" s="19"/>
      <c r="M109" s="20"/>
      <c r="N109" s="19"/>
      <c r="O109" s="19"/>
    </row>
    <row r="110" customFormat="false" ht="23.25" hidden="false" customHeight="true" outlineLevel="0" collapsed="false">
      <c r="A110" s="18" t="s">
        <v>467</v>
      </c>
      <c r="B110" s="18" t="s">
        <v>46</v>
      </c>
      <c r="C110" s="18" t="s">
        <v>468</v>
      </c>
      <c r="D110" s="18" t="s">
        <v>93</v>
      </c>
      <c r="E110" s="18" t="s">
        <v>83</v>
      </c>
      <c r="F110" s="18" t="s">
        <v>94</v>
      </c>
      <c r="G110" s="18" t="s">
        <v>464</v>
      </c>
      <c r="H110" s="18" t="s">
        <v>469</v>
      </c>
      <c r="I110" s="18" t="s">
        <v>470</v>
      </c>
      <c r="J110" s="19"/>
      <c r="K110" s="19" t="s">
        <v>37</v>
      </c>
      <c r="L110" s="19"/>
      <c r="M110" s="20"/>
      <c r="N110" s="19"/>
      <c r="O110" s="19" t="s">
        <v>462</v>
      </c>
    </row>
    <row r="111" customFormat="false" ht="15" hidden="false" customHeight="true" outlineLevel="0" collapsed="false">
      <c r="A111" s="18" t="s">
        <v>471</v>
      </c>
      <c r="B111" s="18" t="s">
        <v>46</v>
      </c>
      <c r="C111" s="18" t="s">
        <v>468</v>
      </c>
      <c r="D111" s="18" t="s">
        <v>106</v>
      </c>
      <c r="E111" s="18" t="s">
        <v>99</v>
      </c>
      <c r="F111" s="18" t="s">
        <v>94</v>
      </c>
      <c r="G111" s="18"/>
      <c r="H111" s="18" t="s">
        <v>472</v>
      </c>
      <c r="I111" s="18" t="s">
        <v>455</v>
      </c>
      <c r="J111" s="19"/>
      <c r="K111" s="19" t="s">
        <v>37</v>
      </c>
      <c r="L111" s="19"/>
      <c r="M111" s="20"/>
      <c r="N111" s="19"/>
      <c r="O111" s="19"/>
    </row>
    <row r="112" customFormat="false" ht="15" hidden="false" customHeight="true" outlineLevel="0" collapsed="false">
      <c r="A112" s="18" t="s">
        <v>473</v>
      </c>
      <c r="B112" s="18" t="s">
        <v>46</v>
      </c>
      <c r="C112" s="18" t="s">
        <v>468</v>
      </c>
      <c r="D112" s="18" t="s">
        <v>110</v>
      </c>
      <c r="E112" s="18" t="s">
        <v>111</v>
      </c>
      <c r="F112" s="18" t="s">
        <v>94</v>
      </c>
      <c r="G112" s="18"/>
      <c r="H112" s="18" t="s">
        <v>474</v>
      </c>
      <c r="I112" s="18" t="s">
        <v>475</v>
      </c>
      <c r="J112" s="19"/>
      <c r="K112" s="19" t="s">
        <v>37</v>
      </c>
      <c r="L112" s="19"/>
      <c r="M112" s="20"/>
      <c r="N112" s="19"/>
      <c r="O112" s="19"/>
    </row>
    <row r="113" customFormat="false" ht="23.25" hidden="false" customHeight="true" outlineLevel="0" collapsed="false">
      <c r="A113" s="18" t="s">
        <v>476</v>
      </c>
      <c r="B113" s="18" t="s">
        <v>46</v>
      </c>
      <c r="C113" s="18" t="s">
        <v>477</v>
      </c>
      <c r="D113" s="18" t="s">
        <v>93</v>
      </c>
      <c r="E113" s="18" t="s">
        <v>83</v>
      </c>
      <c r="F113" s="18" t="s">
        <v>94</v>
      </c>
      <c r="G113" s="18"/>
      <c r="H113" s="18" t="s">
        <v>478</v>
      </c>
      <c r="I113" s="18" t="s">
        <v>479</v>
      </c>
      <c r="J113" s="19"/>
      <c r="K113" s="19" t="s">
        <v>37</v>
      </c>
      <c r="L113" s="19"/>
      <c r="M113" s="20"/>
      <c r="N113" s="19"/>
      <c r="O113" s="19"/>
    </row>
    <row r="114" customFormat="false" ht="15" hidden="false" customHeight="true" outlineLevel="0" collapsed="false">
      <c r="A114" s="18" t="s">
        <v>480</v>
      </c>
      <c r="B114" s="18" t="s">
        <v>46</v>
      </c>
      <c r="C114" s="18" t="s">
        <v>477</v>
      </c>
      <c r="D114" s="18" t="s">
        <v>82</v>
      </c>
      <c r="E114" s="18" t="s">
        <v>99</v>
      </c>
      <c r="F114" s="18" t="s">
        <v>94</v>
      </c>
      <c r="G114" s="18" t="s">
        <v>481</v>
      </c>
      <c r="H114" s="18" t="s">
        <v>482</v>
      </c>
      <c r="I114" s="18" t="s">
        <v>483</v>
      </c>
      <c r="J114" s="19"/>
      <c r="K114" s="19" t="s">
        <v>37</v>
      </c>
      <c r="L114" s="19"/>
      <c r="M114" s="20"/>
      <c r="N114" s="19"/>
      <c r="O114" s="19"/>
    </row>
    <row r="115" customFormat="false" ht="15" hidden="false" customHeight="true" outlineLevel="0" collapsed="false">
      <c r="A115" s="18" t="s">
        <v>484</v>
      </c>
      <c r="B115" s="18" t="s">
        <v>46</v>
      </c>
      <c r="C115" s="18" t="s">
        <v>254</v>
      </c>
      <c r="D115" s="18" t="s">
        <v>93</v>
      </c>
      <c r="E115" s="18" t="s">
        <v>99</v>
      </c>
      <c r="F115" s="18" t="s">
        <v>94</v>
      </c>
      <c r="G115" s="18"/>
      <c r="H115" s="18" t="s">
        <v>485</v>
      </c>
      <c r="I115" s="18" t="s">
        <v>486</v>
      </c>
      <c r="J115" s="19"/>
      <c r="K115" s="19" t="s">
        <v>37</v>
      </c>
      <c r="L115" s="19"/>
      <c r="M115" s="20"/>
      <c r="N115" s="19"/>
      <c r="O115" s="19"/>
    </row>
    <row r="116" customFormat="false" ht="23.25" hidden="false" customHeight="true" outlineLevel="0" collapsed="false">
      <c r="A116" s="18" t="s">
        <v>487</v>
      </c>
      <c r="B116" s="18" t="s">
        <v>46</v>
      </c>
      <c r="C116" s="18" t="s">
        <v>488</v>
      </c>
      <c r="D116" s="18" t="s">
        <v>93</v>
      </c>
      <c r="E116" s="18" t="s">
        <v>83</v>
      </c>
      <c r="F116" s="18" t="s">
        <v>94</v>
      </c>
      <c r="G116" s="18" t="s">
        <v>489</v>
      </c>
      <c r="H116" s="18" t="s">
        <v>490</v>
      </c>
      <c r="I116" s="18" t="s">
        <v>491</v>
      </c>
      <c r="J116" s="19"/>
      <c r="K116" s="19" t="s">
        <v>37</v>
      </c>
      <c r="L116" s="19"/>
      <c r="M116" s="20"/>
      <c r="N116" s="19"/>
      <c r="O116" s="19"/>
    </row>
    <row r="117" customFormat="false" ht="15" hidden="false" customHeight="true" outlineLevel="0" collapsed="false">
      <c r="A117" s="18" t="s">
        <v>492</v>
      </c>
      <c r="B117" s="18" t="s">
        <v>46</v>
      </c>
      <c r="C117" s="18" t="s">
        <v>488</v>
      </c>
      <c r="D117" s="18" t="s">
        <v>93</v>
      </c>
      <c r="E117" s="18" t="s">
        <v>83</v>
      </c>
      <c r="F117" s="18" t="s">
        <v>94</v>
      </c>
      <c r="G117" s="18"/>
      <c r="H117" s="18" t="s">
        <v>493</v>
      </c>
      <c r="I117" s="18" t="s">
        <v>494</v>
      </c>
      <c r="J117" s="19"/>
      <c r="K117" s="19" t="s">
        <v>37</v>
      </c>
      <c r="L117" s="19"/>
      <c r="M117" s="20"/>
      <c r="N117" s="19"/>
      <c r="O117" s="19"/>
    </row>
    <row r="118" customFormat="false" ht="15" hidden="false" customHeight="true" outlineLevel="0" collapsed="false">
      <c r="A118" s="18" t="s">
        <v>495</v>
      </c>
      <c r="B118" s="18" t="s">
        <v>46</v>
      </c>
      <c r="C118" s="18" t="s">
        <v>488</v>
      </c>
      <c r="D118" s="18" t="s">
        <v>106</v>
      </c>
      <c r="E118" s="18" t="s">
        <v>111</v>
      </c>
      <c r="F118" s="18" t="s">
        <v>94</v>
      </c>
      <c r="G118" s="18"/>
      <c r="H118" s="18" t="s">
        <v>496</v>
      </c>
      <c r="I118" s="18" t="s">
        <v>497</v>
      </c>
      <c r="J118" s="19"/>
      <c r="K118" s="19" t="s">
        <v>37</v>
      </c>
      <c r="L118" s="19"/>
      <c r="M118" s="20"/>
      <c r="N118" s="19"/>
      <c r="O118" s="19"/>
    </row>
    <row r="119" customFormat="false" ht="23.25" hidden="false" customHeight="true" outlineLevel="0" collapsed="false">
      <c r="A119" s="18" t="s">
        <v>498</v>
      </c>
      <c r="B119" s="18" t="s">
        <v>46</v>
      </c>
      <c r="C119" s="18" t="s">
        <v>488</v>
      </c>
      <c r="D119" s="18" t="s">
        <v>93</v>
      </c>
      <c r="E119" s="18" t="s">
        <v>83</v>
      </c>
      <c r="F119" s="18" t="s">
        <v>94</v>
      </c>
      <c r="G119" s="18"/>
      <c r="H119" s="18" t="s">
        <v>499</v>
      </c>
      <c r="I119" s="18" t="s">
        <v>500</v>
      </c>
      <c r="J119" s="19"/>
      <c r="K119" s="19" t="s">
        <v>37</v>
      </c>
      <c r="L119" s="19"/>
      <c r="M119" s="20"/>
      <c r="N119" s="19"/>
      <c r="O119" s="19"/>
    </row>
    <row r="120" customFormat="false" ht="23.25" hidden="false" customHeight="true" outlineLevel="0" collapsed="false">
      <c r="A120" s="18" t="s">
        <v>501</v>
      </c>
      <c r="B120" s="18" t="s">
        <v>46</v>
      </c>
      <c r="C120" s="18" t="s">
        <v>488</v>
      </c>
      <c r="D120" s="18" t="s">
        <v>93</v>
      </c>
      <c r="E120" s="18" t="s">
        <v>83</v>
      </c>
      <c r="F120" s="18" t="s">
        <v>94</v>
      </c>
      <c r="G120" s="18" t="s">
        <v>502</v>
      </c>
      <c r="H120" s="18" t="s">
        <v>503</v>
      </c>
      <c r="I120" s="18" t="s">
        <v>504</v>
      </c>
      <c r="J120" s="19"/>
      <c r="K120" s="19" t="s">
        <v>37</v>
      </c>
      <c r="L120" s="19"/>
      <c r="M120" s="20"/>
      <c r="N120" s="19"/>
      <c r="O120" s="19"/>
    </row>
    <row r="121" customFormat="false" ht="15" hidden="false" customHeight="true" outlineLevel="0" collapsed="false">
      <c r="A121" s="18" t="s">
        <v>505</v>
      </c>
      <c r="B121" s="18" t="s">
        <v>46</v>
      </c>
      <c r="C121" s="18" t="s">
        <v>488</v>
      </c>
      <c r="D121" s="18" t="s">
        <v>93</v>
      </c>
      <c r="E121" s="18" t="s">
        <v>99</v>
      </c>
      <c r="F121" s="18" t="s">
        <v>94</v>
      </c>
      <c r="G121" s="18" t="s">
        <v>506</v>
      </c>
      <c r="H121" s="18" t="s">
        <v>507</v>
      </c>
      <c r="I121" s="18" t="s">
        <v>508</v>
      </c>
      <c r="J121" s="19"/>
      <c r="K121" s="19" t="s">
        <v>37</v>
      </c>
      <c r="L121" s="19"/>
      <c r="M121" s="20"/>
      <c r="N121" s="19"/>
      <c r="O121" s="19"/>
    </row>
    <row r="122" customFormat="false" ht="23.25" hidden="false" customHeight="true" outlineLevel="0" collapsed="false">
      <c r="A122" s="18" t="s">
        <v>509</v>
      </c>
      <c r="B122" s="18" t="s">
        <v>46</v>
      </c>
      <c r="C122" s="18" t="s">
        <v>488</v>
      </c>
      <c r="D122" s="18" t="s">
        <v>82</v>
      </c>
      <c r="E122" s="18" t="s">
        <v>83</v>
      </c>
      <c r="F122" s="18" t="s">
        <v>94</v>
      </c>
      <c r="G122" s="18"/>
      <c r="H122" s="18" t="s">
        <v>510</v>
      </c>
      <c r="I122" s="18" t="s">
        <v>511</v>
      </c>
      <c r="J122" s="19"/>
      <c r="K122" s="19" t="s">
        <v>37</v>
      </c>
      <c r="L122" s="19"/>
      <c r="M122" s="20"/>
      <c r="N122" s="19"/>
      <c r="O122" s="19"/>
    </row>
    <row r="123" customFormat="false" ht="23.25" hidden="false" customHeight="true" outlineLevel="0" collapsed="false">
      <c r="A123" s="18" t="s">
        <v>512</v>
      </c>
      <c r="B123" s="18" t="s">
        <v>46</v>
      </c>
      <c r="C123" s="18" t="s">
        <v>488</v>
      </c>
      <c r="D123" s="18" t="s">
        <v>93</v>
      </c>
      <c r="E123" s="18" t="s">
        <v>99</v>
      </c>
      <c r="F123" s="18" t="s">
        <v>94</v>
      </c>
      <c r="G123" s="18" t="s">
        <v>513</v>
      </c>
      <c r="H123" s="18" t="s">
        <v>514</v>
      </c>
      <c r="I123" s="18" t="s">
        <v>515</v>
      </c>
      <c r="J123" s="19"/>
      <c r="K123" s="19" t="s">
        <v>37</v>
      </c>
      <c r="L123" s="19"/>
      <c r="M123" s="20"/>
      <c r="N123" s="19"/>
      <c r="O123" s="19"/>
    </row>
    <row r="124" customFormat="false" ht="23.25" hidden="false" customHeight="true" outlineLevel="0" collapsed="false">
      <c r="A124" s="18" t="s">
        <v>516</v>
      </c>
      <c r="B124" s="18" t="s">
        <v>46</v>
      </c>
      <c r="C124" s="18" t="s">
        <v>488</v>
      </c>
      <c r="D124" s="18" t="s">
        <v>132</v>
      </c>
      <c r="E124" s="18" t="s">
        <v>83</v>
      </c>
      <c r="F124" s="18" t="s">
        <v>517</v>
      </c>
      <c r="G124" s="18" t="s">
        <v>518</v>
      </c>
      <c r="H124" s="18" t="s">
        <v>519</v>
      </c>
      <c r="I124" s="18" t="s">
        <v>520</v>
      </c>
      <c r="J124" s="19"/>
      <c r="K124" s="19" t="s">
        <v>37</v>
      </c>
      <c r="L124" s="19"/>
      <c r="M124" s="20"/>
      <c r="N124" s="19"/>
      <c r="O124" s="19"/>
    </row>
    <row r="125" customFormat="false" ht="23.25" hidden="false" customHeight="true" outlineLevel="0" collapsed="false">
      <c r="A125" s="18" t="s">
        <v>521</v>
      </c>
      <c r="B125" s="18" t="s">
        <v>46</v>
      </c>
      <c r="C125" s="18" t="s">
        <v>488</v>
      </c>
      <c r="D125" s="18" t="s">
        <v>132</v>
      </c>
      <c r="E125" s="18" t="s">
        <v>83</v>
      </c>
      <c r="F125" s="18" t="s">
        <v>517</v>
      </c>
      <c r="G125" s="18" t="s">
        <v>522</v>
      </c>
      <c r="H125" s="18" t="s">
        <v>523</v>
      </c>
      <c r="I125" s="18" t="s">
        <v>524</v>
      </c>
      <c r="J125" s="19"/>
      <c r="K125" s="19" t="s">
        <v>37</v>
      </c>
      <c r="L125" s="19"/>
      <c r="M125" s="20"/>
      <c r="N125" s="19"/>
      <c r="O125" s="19"/>
    </row>
    <row r="126" customFormat="false" ht="34.5" hidden="false" customHeight="true" outlineLevel="0" collapsed="false">
      <c r="A126" s="18" t="s">
        <v>525</v>
      </c>
      <c r="B126" s="18" t="s">
        <v>46</v>
      </c>
      <c r="C126" s="18" t="s">
        <v>488</v>
      </c>
      <c r="D126" s="18" t="s">
        <v>132</v>
      </c>
      <c r="E126" s="18" t="s">
        <v>83</v>
      </c>
      <c r="F126" s="18" t="s">
        <v>526</v>
      </c>
      <c r="G126" s="18" t="s">
        <v>527</v>
      </c>
      <c r="H126" s="18" t="s">
        <v>528</v>
      </c>
      <c r="I126" s="18" t="s">
        <v>529</v>
      </c>
      <c r="J126" s="19"/>
      <c r="K126" s="19" t="s">
        <v>37</v>
      </c>
      <c r="L126" s="19"/>
      <c r="M126" s="20"/>
      <c r="N126" s="19"/>
      <c r="O126" s="19"/>
    </row>
    <row r="127" customFormat="false" ht="23.25" hidden="false" customHeight="true" outlineLevel="0" collapsed="false">
      <c r="A127" s="18" t="s">
        <v>530</v>
      </c>
      <c r="B127" s="18" t="s">
        <v>46</v>
      </c>
      <c r="C127" s="18" t="s">
        <v>488</v>
      </c>
      <c r="D127" s="18" t="s">
        <v>93</v>
      </c>
      <c r="E127" s="18" t="s">
        <v>83</v>
      </c>
      <c r="F127" s="18" t="s">
        <v>94</v>
      </c>
      <c r="G127" s="18" t="s">
        <v>531</v>
      </c>
      <c r="H127" s="18" t="s">
        <v>532</v>
      </c>
      <c r="I127" s="18" t="s">
        <v>533</v>
      </c>
      <c r="J127" s="19"/>
      <c r="K127" s="19" t="s">
        <v>37</v>
      </c>
      <c r="L127" s="19"/>
      <c r="M127" s="20"/>
      <c r="N127" s="19"/>
      <c r="O127" s="19"/>
    </row>
    <row r="128" customFormat="false" ht="23.25" hidden="false" customHeight="true" outlineLevel="0" collapsed="false">
      <c r="A128" s="18" t="s">
        <v>534</v>
      </c>
      <c r="B128" s="18" t="s">
        <v>46</v>
      </c>
      <c r="C128" s="18" t="s">
        <v>488</v>
      </c>
      <c r="D128" s="18" t="s">
        <v>93</v>
      </c>
      <c r="E128" s="18" t="s">
        <v>83</v>
      </c>
      <c r="F128" s="18" t="s">
        <v>94</v>
      </c>
      <c r="G128" s="18"/>
      <c r="H128" s="18" t="s">
        <v>535</v>
      </c>
      <c r="I128" s="18" t="s">
        <v>536</v>
      </c>
      <c r="J128" s="19"/>
      <c r="K128" s="19" t="s">
        <v>37</v>
      </c>
      <c r="L128" s="19"/>
      <c r="M128" s="20"/>
      <c r="N128" s="19"/>
      <c r="O128" s="19"/>
    </row>
    <row r="129" customFormat="false" ht="34.5" hidden="false" customHeight="true" outlineLevel="0" collapsed="false">
      <c r="A129" s="18" t="s">
        <v>537</v>
      </c>
      <c r="B129" s="18" t="s">
        <v>46</v>
      </c>
      <c r="C129" s="18" t="s">
        <v>488</v>
      </c>
      <c r="D129" s="18" t="s">
        <v>93</v>
      </c>
      <c r="E129" s="18" t="s">
        <v>83</v>
      </c>
      <c r="F129" s="18" t="s">
        <v>94</v>
      </c>
      <c r="G129" s="18" t="s">
        <v>538</v>
      </c>
      <c r="H129" s="18" t="s">
        <v>539</v>
      </c>
      <c r="I129" s="18" t="s">
        <v>540</v>
      </c>
      <c r="J129" s="19"/>
      <c r="K129" s="19" t="s">
        <v>37</v>
      </c>
      <c r="L129" s="19"/>
      <c r="M129" s="20"/>
      <c r="N129" s="19"/>
      <c r="O129" s="19"/>
    </row>
    <row r="130" customFormat="false" ht="23.25" hidden="false" customHeight="true" outlineLevel="0" collapsed="false">
      <c r="A130" s="18" t="s">
        <v>541</v>
      </c>
      <c r="B130" s="18" t="s">
        <v>46</v>
      </c>
      <c r="C130" s="18" t="s">
        <v>488</v>
      </c>
      <c r="D130" s="18" t="s">
        <v>82</v>
      </c>
      <c r="E130" s="18" t="s">
        <v>83</v>
      </c>
      <c r="F130" s="18" t="s">
        <v>94</v>
      </c>
      <c r="G130" s="18" t="s">
        <v>542</v>
      </c>
      <c r="H130" s="18" t="s">
        <v>532</v>
      </c>
      <c r="I130" s="18" t="s">
        <v>543</v>
      </c>
      <c r="J130" s="19"/>
      <c r="K130" s="19" t="s">
        <v>37</v>
      </c>
      <c r="L130" s="19"/>
      <c r="M130" s="20"/>
      <c r="N130" s="19"/>
      <c r="O130" s="19"/>
    </row>
    <row r="131" customFormat="false" ht="23.25" hidden="false" customHeight="true" outlineLevel="0" collapsed="false">
      <c r="A131" s="18" t="s">
        <v>544</v>
      </c>
      <c r="B131" s="18" t="s">
        <v>46</v>
      </c>
      <c r="C131" s="18" t="s">
        <v>488</v>
      </c>
      <c r="D131" s="18" t="s">
        <v>93</v>
      </c>
      <c r="E131" s="18" t="s">
        <v>99</v>
      </c>
      <c r="F131" s="18" t="s">
        <v>94</v>
      </c>
      <c r="G131" s="18" t="s">
        <v>545</v>
      </c>
      <c r="H131" s="18" t="s">
        <v>546</v>
      </c>
      <c r="I131" s="18" t="s">
        <v>547</v>
      </c>
      <c r="J131" s="19"/>
      <c r="K131" s="19" t="s">
        <v>37</v>
      </c>
      <c r="L131" s="19"/>
      <c r="M131" s="20"/>
      <c r="N131" s="19"/>
      <c r="O131" s="19"/>
    </row>
    <row r="132" customFormat="false" ht="23.25" hidden="false" customHeight="true" outlineLevel="0" collapsed="false">
      <c r="A132" s="18" t="s">
        <v>548</v>
      </c>
      <c r="B132" s="18" t="s">
        <v>46</v>
      </c>
      <c r="C132" s="18" t="s">
        <v>488</v>
      </c>
      <c r="D132" s="18" t="s">
        <v>93</v>
      </c>
      <c r="E132" s="18" t="s">
        <v>99</v>
      </c>
      <c r="F132" s="18" t="s">
        <v>94</v>
      </c>
      <c r="G132" s="18" t="s">
        <v>549</v>
      </c>
      <c r="H132" s="18" t="s">
        <v>550</v>
      </c>
      <c r="I132" s="18" t="s">
        <v>551</v>
      </c>
      <c r="J132" s="19"/>
      <c r="K132" s="19" t="s">
        <v>37</v>
      </c>
      <c r="L132" s="19"/>
      <c r="M132" s="20"/>
      <c r="N132" s="19"/>
      <c r="O132" s="19"/>
    </row>
    <row r="133" customFormat="false" ht="23.25" hidden="false" customHeight="true" outlineLevel="0" collapsed="false">
      <c r="A133" s="18" t="s">
        <v>552</v>
      </c>
      <c r="B133" s="18" t="s">
        <v>46</v>
      </c>
      <c r="C133" s="18" t="s">
        <v>553</v>
      </c>
      <c r="D133" s="18" t="s">
        <v>93</v>
      </c>
      <c r="E133" s="18" t="s">
        <v>83</v>
      </c>
      <c r="F133" s="18" t="s">
        <v>94</v>
      </c>
      <c r="G133" s="18" t="s">
        <v>554</v>
      </c>
      <c r="H133" s="18" t="s">
        <v>532</v>
      </c>
      <c r="I133" s="18" t="s">
        <v>555</v>
      </c>
      <c r="J133" s="19"/>
      <c r="K133" s="19" t="s">
        <v>37</v>
      </c>
      <c r="L133" s="19"/>
      <c r="M133" s="20"/>
      <c r="N133" s="19"/>
      <c r="O133" s="19"/>
    </row>
    <row r="134" customFormat="false" ht="15" hidden="false" customHeight="true" outlineLevel="0" collapsed="false">
      <c r="A134" s="18" t="s">
        <v>556</v>
      </c>
      <c r="B134" s="18" t="s">
        <v>46</v>
      </c>
      <c r="C134" s="18" t="s">
        <v>553</v>
      </c>
      <c r="D134" s="18" t="s">
        <v>93</v>
      </c>
      <c r="E134" s="18" t="s">
        <v>83</v>
      </c>
      <c r="F134" s="18" t="s">
        <v>94</v>
      </c>
      <c r="G134" s="18"/>
      <c r="H134" s="18" t="s">
        <v>557</v>
      </c>
      <c r="I134" s="18" t="s">
        <v>558</v>
      </c>
      <c r="J134" s="19"/>
      <c r="K134" s="19" t="s">
        <v>37</v>
      </c>
      <c r="L134" s="19"/>
      <c r="M134" s="20"/>
      <c r="N134" s="19"/>
      <c r="O134" s="19"/>
    </row>
    <row r="135" customFormat="false" ht="15" hidden="false" customHeight="true" outlineLevel="0" collapsed="false">
      <c r="A135" s="18" t="s">
        <v>559</v>
      </c>
      <c r="B135" s="18" t="s">
        <v>46</v>
      </c>
      <c r="C135" s="18" t="s">
        <v>553</v>
      </c>
      <c r="D135" s="18" t="s">
        <v>93</v>
      </c>
      <c r="E135" s="18" t="s">
        <v>83</v>
      </c>
      <c r="F135" s="18" t="s">
        <v>94</v>
      </c>
      <c r="G135" s="18" t="s">
        <v>560</v>
      </c>
      <c r="H135" s="18" t="s">
        <v>550</v>
      </c>
      <c r="I135" s="18" t="s">
        <v>561</v>
      </c>
      <c r="J135" s="19"/>
      <c r="K135" s="19" t="s">
        <v>37</v>
      </c>
      <c r="L135" s="19"/>
      <c r="M135" s="20"/>
      <c r="N135" s="19"/>
      <c r="O135" s="19"/>
    </row>
    <row r="136" customFormat="false" ht="15" hidden="false" customHeight="true" outlineLevel="0" collapsed="false">
      <c r="A136" s="18" t="s">
        <v>562</v>
      </c>
      <c r="B136" s="18" t="s">
        <v>46</v>
      </c>
      <c r="C136" s="18" t="s">
        <v>553</v>
      </c>
      <c r="D136" s="18" t="s">
        <v>106</v>
      </c>
      <c r="E136" s="18" t="s">
        <v>83</v>
      </c>
      <c r="F136" s="18" t="s">
        <v>94</v>
      </c>
      <c r="G136" s="18" t="s">
        <v>563</v>
      </c>
      <c r="H136" s="18" t="s">
        <v>550</v>
      </c>
      <c r="I136" s="18" t="s">
        <v>564</v>
      </c>
      <c r="J136" s="19"/>
      <c r="K136" s="19" t="s">
        <v>37</v>
      </c>
      <c r="L136" s="19"/>
      <c r="M136" s="20"/>
      <c r="N136" s="19"/>
      <c r="O136" s="19"/>
    </row>
    <row r="137" customFormat="false" ht="15" hidden="false" customHeight="true" outlineLevel="0" collapsed="false">
      <c r="A137" s="18" t="s">
        <v>565</v>
      </c>
      <c r="B137" s="18" t="s">
        <v>46</v>
      </c>
      <c r="C137" s="18" t="s">
        <v>553</v>
      </c>
      <c r="D137" s="18" t="s">
        <v>106</v>
      </c>
      <c r="E137" s="18" t="s">
        <v>83</v>
      </c>
      <c r="F137" s="18" t="s">
        <v>94</v>
      </c>
      <c r="G137" s="18"/>
      <c r="H137" s="18" t="s">
        <v>566</v>
      </c>
      <c r="I137" s="18" t="s">
        <v>567</v>
      </c>
      <c r="J137" s="19"/>
      <c r="K137" s="19" t="s">
        <v>37</v>
      </c>
      <c r="L137" s="19"/>
      <c r="M137" s="20"/>
      <c r="N137" s="19"/>
      <c r="O137" s="19"/>
    </row>
    <row r="138" customFormat="false" ht="15" hidden="false" customHeight="true" outlineLevel="0" collapsed="false">
      <c r="A138" s="18" t="s">
        <v>568</v>
      </c>
      <c r="B138" s="18" t="s">
        <v>46</v>
      </c>
      <c r="C138" s="18" t="s">
        <v>553</v>
      </c>
      <c r="D138" s="18" t="s">
        <v>93</v>
      </c>
      <c r="E138" s="18" t="s">
        <v>99</v>
      </c>
      <c r="F138" s="18" t="s">
        <v>94</v>
      </c>
      <c r="G138" s="18"/>
      <c r="H138" s="18" t="s">
        <v>569</v>
      </c>
      <c r="I138" s="18" t="s">
        <v>570</v>
      </c>
      <c r="J138" s="19"/>
      <c r="K138" s="19" t="s">
        <v>37</v>
      </c>
      <c r="L138" s="19"/>
      <c r="M138" s="20"/>
      <c r="N138" s="19"/>
      <c r="O138" s="19"/>
    </row>
    <row r="139" customFormat="false" ht="23.25" hidden="false" customHeight="true" outlineLevel="0" collapsed="false">
      <c r="A139" s="18" t="s">
        <v>571</v>
      </c>
      <c r="B139" s="18" t="s">
        <v>46</v>
      </c>
      <c r="C139" s="18" t="s">
        <v>553</v>
      </c>
      <c r="D139" s="18" t="s">
        <v>93</v>
      </c>
      <c r="E139" s="18" t="s">
        <v>83</v>
      </c>
      <c r="F139" s="18" t="s">
        <v>94</v>
      </c>
      <c r="G139" s="18"/>
      <c r="H139" s="18" t="s">
        <v>572</v>
      </c>
      <c r="I139" s="18" t="s">
        <v>573</v>
      </c>
      <c r="J139" s="19"/>
      <c r="K139" s="19" t="s">
        <v>37</v>
      </c>
      <c r="L139" s="19"/>
      <c r="M139" s="20"/>
      <c r="N139" s="19"/>
      <c r="O139" s="19" t="s">
        <v>462</v>
      </c>
    </row>
    <row r="140" customFormat="false" ht="15" hidden="false" customHeight="true" outlineLevel="0" collapsed="false">
      <c r="A140" s="18" t="s">
        <v>574</v>
      </c>
      <c r="B140" s="18" t="s">
        <v>46</v>
      </c>
      <c r="C140" s="18" t="s">
        <v>553</v>
      </c>
      <c r="D140" s="18" t="s">
        <v>82</v>
      </c>
      <c r="E140" s="18" t="s">
        <v>83</v>
      </c>
      <c r="F140" s="18" t="s">
        <v>94</v>
      </c>
      <c r="G140" s="18" t="s">
        <v>575</v>
      </c>
      <c r="H140" s="18" t="s">
        <v>576</v>
      </c>
      <c r="I140" s="18" t="s">
        <v>577</v>
      </c>
      <c r="J140" s="19"/>
      <c r="K140" s="19" t="s">
        <v>37</v>
      </c>
      <c r="L140" s="19"/>
      <c r="M140" s="20"/>
      <c r="N140" s="19"/>
      <c r="O140" s="19" t="s">
        <v>462</v>
      </c>
    </row>
    <row r="141" customFormat="false" ht="15" hidden="false" customHeight="true" outlineLevel="0" collapsed="false">
      <c r="A141" s="18" t="s">
        <v>578</v>
      </c>
      <c r="B141" s="18" t="s">
        <v>46</v>
      </c>
      <c r="C141" s="18" t="s">
        <v>553</v>
      </c>
      <c r="D141" s="18" t="s">
        <v>82</v>
      </c>
      <c r="E141" s="18" t="s">
        <v>83</v>
      </c>
      <c r="F141" s="18" t="s">
        <v>94</v>
      </c>
      <c r="G141" s="18" t="s">
        <v>579</v>
      </c>
      <c r="H141" s="18" t="s">
        <v>580</v>
      </c>
      <c r="I141" s="18" t="s">
        <v>581</v>
      </c>
      <c r="J141" s="19"/>
      <c r="K141" s="19" t="s">
        <v>37</v>
      </c>
      <c r="L141" s="19"/>
      <c r="M141" s="20"/>
      <c r="N141" s="19"/>
      <c r="O141" s="19"/>
    </row>
    <row r="142" customFormat="false" ht="23.25" hidden="false" customHeight="true" outlineLevel="0" collapsed="false">
      <c r="A142" s="18" t="s">
        <v>582</v>
      </c>
      <c r="B142" s="18" t="s">
        <v>46</v>
      </c>
      <c r="C142" s="18" t="s">
        <v>553</v>
      </c>
      <c r="D142" s="18" t="s">
        <v>93</v>
      </c>
      <c r="E142" s="18" t="s">
        <v>83</v>
      </c>
      <c r="F142" s="18" t="s">
        <v>94</v>
      </c>
      <c r="G142" s="18"/>
      <c r="H142" s="18" t="s">
        <v>583</v>
      </c>
      <c r="I142" s="18" t="s">
        <v>584</v>
      </c>
      <c r="J142" s="19"/>
      <c r="K142" s="19" t="s">
        <v>37</v>
      </c>
      <c r="L142" s="19"/>
      <c r="M142" s="20"/>
      <c r="N142" s="19"/>
      <c r="O142" s="19"/>
    </row>
    <row r="143" customFormat="false" ht="15" hidden="false" customHeight="true" outlineLevel="0" collapsed="false">
      <c r="A143" s="18" t="s">
        <v>585</v>
      </c>
      <c r="B143" s="18" t="s">
        <v>46</v>
      </c>
      <c r="C143" s="18" t="s">
        <v>553</v>
      </c>
      <c r="D143" s="18" t="s">
        <v>82</v>
      </c>
      <c r="E143" s="18" t="s">
        <v>83</v>
      </c>
      <c r="F143" s="18" t="s">
        <v>94</v>
      </c>
      <c r="G143" s="18"/>
      <c r="H143" s="18" t="s">
        <v>586</v>
      </c>
      <c r="I143" s="18" t="s">
        <v>587</v>
      </c>
      <c r="J143" s="19"/>
      <c r="K143" s="19" t="s">
        <v>37</v>
      </c>
      <c r="L143" s="19"/>
      <c r="M143" s="20"/>
      <c r="N143" s="19"/>
      <c r="O143" s="19"/>
    </row>
    <row r="144" customFormat="false" ht="15" hidden="false" customHeight="true" outlineLevel="0" collapsed="false">
      <c r="A144" s="18" t="s">
        <v>588</v>
      </c>
      <c r="B144" s="18" t="s">
        <v>46</v>
      </c>
      <c r="C144" s="18" t="s">
        <v>553</v>
      </c>
      <c r="D144" s="18" t="s">
        <v>82</v>
      </c>
      <c r="E144" s="18" t="s">
        <v>99</v>
      </c>
      <c r="F144" s="18" t="s">
        <v>94</v>
      </c>
      <c r="G144" s="18"/>
      <c r="H144" s="18" t="s">
        <v>589</v>
      </c>
      <c r="I144" s="18" t="s">
        <v>590</v>
      </c>
      <c r="J144" s="19"/>
      <c r="K144" s="19" t="s">
        <v>37</v>
      </c>
      <c r="L144" s="19"/>
      <c r="M144" s="20"/>
      <c r="N144" s="19"/>
      <c r="O144" s="19"/>
    </row>
    <row r="145" customFormat="false" ht="15" hidden="false" customHeight="true" outlineLevel="0" collapsed="false">
      <c r="A145" s="18" t="s">
        <v>591</v>
      </c>
      <c r="B145" s="18" t="s">
        <v>47</v>
      </c>
      <c r="C145" s="18" t="s">
        <v>214</v>
      </c>
      <c r="D145" s="18" t="s">
        <v>93</v>
      </c>
      <c r="E145" s="18" t="s">
        <v>83</v>
      </c>
      <c r="F145" s="18" t="s">
        <v>94</v>
      </c>
      <c r="G145" s="18"/>
      <c r="H145" s="18" t="s">
        <v>592</v>
      </c>
      <c r="I145" s="18" t="s">
        <v>593</v>
      </c>
      <c r="J145" s="19"/>
      <c r="K145" s="19" t="s">
        <v>37</v>
      </c>
      <c r="L145" s="19"/>
      <c r="M145" s="20"/>
      <c r="N145" s="19"/>
      <c r="O145" s="19"/>
    </row>
    <row r="146" customFormat="false" ht="15" hidden="false" customHeight="true" outlineLevel="0" collapsed="false">
      <c r="A146" s="18" t="s">
        <v>594</v>
      </c>
      <c r="B146" s="18" t="s">
        <v>47</v>
      </c>
      <c r="C146" s="18" t="s">
        <v>214</v>
      </c>
      <c r="D146" s="18" t="s">
        <v>93</v>
      </c>
      <c r="E146" s="18" t="s">
        <v>99</v>
      </c>
      <c r="F146" s="18" t="s">
        <v>94</v>
      </c>
      <c r="G146" s="18"/>
      <c r="H146" s="18" t="s">
        <v>595</v>
      </c>
      <c r="I146" s="18" t="s">
        <v>596</v>
      </c>
      <c r="J146" s="19"/>
      <c r="K146" s="19" t="s">
        <v>37</v>
      </c>
      <c r="L146" s="19"/>
      <c r="M146" s="20"/>
      <c r="N146" s="19"/>
      <c r="O146" s="19" t="s">
        <v>371</v>
      </c>
    </row>
    <row r="147" customFormat="false" ht="15" hidden="false" customHeight="true" outlineLevel="0" collapsed="false">
      <c r="A147" s="18" t="s">
        <v>597</v>
      </c>
      <c r="B147" s="18" t="s">
        <v>47</v>
      </c>
      <c r="C147" s="18" t="s">
        <v>214</v>
      </c>
      <c r="D147" s="18" t="s">
        <v>93</v>
      </c>
      <c r="E147" s="18" t="s">
        <v>99</v>
      </c>
      <c r="F147" s="18" t="s">
        <v>94</v>
      </c>
      <c r="G147" s="18"/>
      <c r="H147" s="18" t="s">
        <v>598</v>
      </c>
      <c r="I147" s="18" t="s">
        <v>599</v>
      </c>
      <c r="J147" s="19"/>
      <c r="K147" s="19" t="s">
        <v>37</v>
      </c>
      <c r="L147" s="19"/>
      <c r="M147" s="20"/>
      <c r="N147" s="19"/>
      <c r="O147" s="19"/>
    </row>
    <row r="148" customFormat="false" ht="23.25" hidden="false" customHeight="true" outlineLevel="0" collapsed="false">
      <c r="A148" s="18" t="s">
        <v>600</v>
      </c>
      <c r="B148" s="18" t="s">
        <v>47</v>
      </c>
      <c r="C148" s="18" t="s">
        <v>214</v>
      </c>
      <c r="D148" s="18" t="s">
        <v>110</v>
      </c>
      <c r="E148" s="18" t="s">
        <v>111</v>
      </c>
      <c r="F148" s="18" t="s">
        <v>94</v>
      </c>
      <c r="G148" s="18"/>
      <c r="H148" s="18" t="s">
        <v>601</v>
      </c>
      <c r="I148" s="18" t="s">
        <v>602</v>
      </c>
      <c r="J148" s="19"/>
      <c r="K148" s="19" t="s">
        <v>37</v>
      </c>
      <c r="L148" s="19"/>
      <c r="M148" s="20"/>
      <c r="N148" s="19"/>
      <c r="O148" s="19" t="s">
        <v>371</v>
      </c>
    </row>
    <row r="149" customFormat="false" ht="15" hidden="false" customHeight="true" outlineLevel="0" collapsed="false">
      <c r="A149" s="18" t="s">
        <v>603</v>
      </c>
      <c r="B149" s="18" t="s">
        <v>47</v>
      </c>
      <c r="C149" s="18" t="s">
        <v>214</v>
      </c>
      <c r="D149" s="18" t="s">
        <v>110</v>
      </c>
      <c r="E149" s="18" t="s">
        <v>111</v>
      </c>
      <c r="F149" s="18" t="s">
        <v>94</v>
      </c>
      <c r="G149" s="18"/>
      <c r="H149" s="18" t="s">
        <v>604</v>
      </c>
      <c r="I149" s="18" t="s">
        <v>605</v>
      </c>
      <c r="J149" s="19"/>
      <c r="K149" s="19" t="s">
        <v>37</v>
      </c>
      <c r="L149" s="19"/>
      <c r="M149" s="20"/>
      <c r="N149" s="19"/>
      <c r="O149" s="19"/>
    </row>
    <row r="150" customFormat="false" ht="15" hidden="false" customHeight="true" outlineLevel="0" collapsed="false">
      <c r="A150" s="18" t="s">
        <v>606</v>
      </c>
      <c r="B150" s="18" t="s">
        <v>47</v>
      </c>
      <c r="C150" s="18" t="s">
        <v>214</v>
      </c>
      <c r="D150" s="18" t="s">
        <v>93</v>
      </c>
      <c r="E150" s="18" t="s">
        <v>99</v>
      </c>
      <c r="F150" s="18" t="s">
        <v>94</v>
      </c>
      <c r="G150" s="18"/>
      <c r="H150" s="18" t="s">
        <v>197</v>
      </c>
      <c r="I150" s="18" t="s">
        <v>607</v>
      </c>
      <c r="J150" s="19"/>
      <c r="K150" s="19" t="s">
        <v>37</v>
      </c>
      <c r="L150" s="19"/>
      <c r="M150" s="20"/>
      <c r="N150" s="19"/>
      <c r="O150" s="19"/>
    </row>
    <row r="151" customFormat="false" ht="15" hidden="false" customHeight="true" outlineLevel="0" collapsed="false">
      <c r="A151" s="18" t="s">
        <v>608</v>
      </c>
      <c r="B151" s="18" t="s">
        <v>47</v>
      </c>
      <c r="C151" s="18" t="s">
        <v>214</v>
      </c>
      <c r="D151" s="18" t="s">
        <v>93</v>
      </c>
      <c r="E151" s="18" t="s">
        <v>99</v>
      </c>
      <c r="F151" s="18" t="s">
        <v>94</v>
      </c>
      <c r="G151" s="18" t="s">
        <v>609</v>
      </c>
      <c r="H151" s="18" t="s">
        <v>610</v>
      </c>
      <c r="I151" s="18" t="s">
        <v>611</v>
      </c>
      <c r="J151" s="19"/>
      <c r="K151" s="19" t="s">
        <v>37</v>
      </c>
      <c r="L151" s="19"/>
      <c r="M151" s="20"/>
      <c r="N151" s="19"/>
      <c r="O151" s="19"/>
    </row>
    <row r="152" customFormat="false" ht="23.25" hidden="false" customHeight="true" outlineLevel="0" collapsed="false">
      <c r="A152" s="18" t="s">
        <v>612</v>
      </c>
      <c r="B152" s="18" t="s">
        <v>47</v>
      </c>
      <c r="C152" s="18" t="s">
        <v>246</v>
      </c>
      <c r="D152" s="18" t="s">
        <v>93</v>
      </c>
      <c r="E152" s="18" t="s">
        <v>83</v>
      </c>
      <c r="F152" s="18" t="s">
        <v>94</v>
      </c>
      <c r="G152" s="18" t="s">
        <v>613</v>
      </c>
      <c r="H152" s="18" t="s">
        <v>614</v>
      </c>
      <c r="I152" s="18" t="s">
        <v>615</v>
      </c>
      <c r="J152" s="19"/>
      <c r="K152" s="19" t="s">
        <v>37</v>
      </c>
      <c r="L152" s="19"/>
      <c r="M152" s="20"/>
      <c r="N152" s="19"/>
      <c r="O152" s="19"/>
    </row>
    <row r="153" customFormat="false" ht="15" hidden="false" customHeight="true" outlineLevel="0" collapsed="false">
      <c r="A153" s="18" t="s">
        <v>616</v>
      </c>
      <c r="B153" s="18" t="s">
        <v>47</v>
      </c>
      <c r="C153" s="18" t="s">
        <v>235</v>
      </c>
      <c r="D153" s="18" t="s">
        <v>93</v>
      </c>
      <c r="E153" s="18" t="s">
        <v>83</v>
      </c>
      <c r="F153" s="18" t="s">
        <v>94</v>
      </c>
      <c r="G153" s="18"/>
      <c r="H153" s="18" t="s">
        <v>617</v>
      </c>
      <c r="I153" s="18" t="s">
        <v>618</v>
      </c>
      <c r="J153" s="19"/>
      <c r="K153" s="19" t="s">
        <v>37</v>
      </c>
      <c r="L153" s="19"/>
      <c r="M153" s="20"/>
      <c r="N153" s="19"/>
      <c r="O153" s="19"/>
    </row>
    <row r="154" customFormat="false" ht="15" hidden="false" customHeight="true" outlineLevel="0" collapsed="false">
      <c r="A154" s="18" t="s">
        <v>619</v>
      </c>
      <c r="B154" s="18" t="s">
        <v>47</v>
      </c>
      <c r="C154" s="18" t="s">
        <v>235</v>
      </c>
      <c r="D154" s="18" t="s">
        <v>93</v>
      </c>
      <c r="E154" s="18" t="s">
        <v>83</v>
      </c>
      <c r="F154" s="18" t="s">
        <v>94</v>
      </c>
      <c r="G154" s="18"/>
      <c r="H154" s="18" t="s">
        <v>620</v>
      </c>
      <c r="I154" s="18" t="s">
        <v>621</v>
      </c>
      <c r="J154" s="19"/>
      <c r="K154" s="19" t="s">
        <v>37</v>
      </c>
      <c r="L154" s="19"/>
      <c r="M154" s="20"/>
      <c r="N154" s="19"/>
      <c r="O154" s="19"/>
    </row>
    <row r="155" customFormat="false" ht="15" hidden="false" customHeight="true" outlineLevel="0" collapsed="false">
      <c r="A155" s="18" t="s">
        <v>622</v>
      </c>
      <c r="B155" s="18" t="s">
        <v>47</v>
      </c>
      <c r="C155" s="18" t="s">
        <v>235</v>
      </c>
      <c r="D155" s="18" t="s">
        <v>110</v>
      </c>
      <c r="E155" s="18" t="s">
        <v>99</v>
      </c>
      <c r="F155" s="18" t="s">
        <v>94</v>
      </c>
      <c r="G155" s="18"/>
      <c r="H155" s="18" t="s">
        <v>623</v>
      </c>
      <c r="I155" s="18" t="s">
        <v>624</v>
      </c>
      <c r="J155" s="19"/>
      <c r="K155" s="19" t="s">
        <v>37</v>
      </c>
      <c r="L155" s="19"/>
      <c r="M155" s="20"/>
      <c r="N155" s="19"/>
      <c r="O155" s="19"/>
    </row>
    <row r="156" customFormat="false" ht="15" hidden="false" customHeight="true" outlineLevel="0" collapsed="false">
      <c r="A156" s="18" t="s">
        <v>625</v>
      </c>
      <c r="B156" s="18" t="s">
        <v>47</v>
      </c>
      <c r="C156" s="18" t="s">
        <v>235</v>
      </c>
      <c r="D156" s="18" t="s">
        <v>93</v>
      </c>
      <c r="E156" s="18" t="s">
        <v>99</v>
      </c>
      <c r="F156" s="18" t="s">
        <v>94</v>
      </c>
      <c r="G156" s="18"/>
      <c r="H156" s="18" t="s">
        <v>626</v>
      </c>
      <c r="I156" s="18" t="s">
        <v>627</v>
      </c>
      <c r="J156" s="19"/>
      <c r="K156" s="19" t="s">
        <v>37</v>
      </c>
      <c r="L156" s="19"/>
      <c r="M156" s="20"/>
      <c r="N156" s="19"/>
      <c r="O156" s="19"/>
    </row>
    <row r="157" customFormat="false" ht="15" hidden="false" customHeight="true" outlineLevel="0" collapsed="false">
      <c r="A157" s="18" t="s">
        <v>628</v>
      </c>
      <c r="B157" s="18" t="s">
        <v>47</v>
      </c>
      <c r="C157" s="18" t="s">
        <v>235</v>
      </c>
      <c r="D157" s="18" t="s">
        <v>106</v>
      </c>
      <c r="E157" s="18" t="s">
        <v>99</v>
      </c>
      <c r="F157" s="18" t="s">
        <v>94</v>
      </c>
      <c r="G157" s="18"/>
      <c r="H157" s="18" t="s">
        <v>629</v>
      </c>
      <c r="I157" s="18" t="s">
        <v>280</v>
      </c>
      <c r="J157" s="19"/>
      <c r="K157" s="19" t="s">
        <v>37</v>
      </c>
      <c r="L157" s="19"/>
      <c r="M157" s="20"/>
      <c r="N157" s="19"/>
      <c r="O157" s="19"/>
    </row>
    <row r="158" customFormat="false" ht="15" hidden="false" customHeight="true" outlineLevel="0" collapsed="false">
      <c r="A158" s="18" t="s">
        <v>630</v>
      </c>
      <c r="B158" s="18" t="s">
        <v>47</v>
      </c>
      <c r="C158" s="18" t="s">
        <v>235</v>
      </c>
      <c r="D158" s="18" t="s">
        <v>93</v>
      </c>
      <c r="E158" s="18" t="s">
        <v>111</v>
      </c>
      <c r="F158" s="18" t="s">
        <v>94</v>
      </c>
      <c r="G158" s="18"/>
      <c r="H158" s="18" t="s">
        <v>631</v>
      </c>
      <c r="I158" s="18" t="s">
        <v>632</v>
      </c>
      <c r="J158" s="19"/>
      <c r="K158" s="19" t="s">
        <v>37</v>
      </c>
      <c r="L158" s="19"/>
      <c r="M158" s="20"/>
      <c r="N158" s="19"/>
      <c r="O158" s="19"/>
    </row>
    <row r="159" customFormat="false" ht="15" hidden="false" customHeight="true" outlineLevel="0" collapsed="false">
      <c r="A159" s="18" t="s">
        <v>633</v>
      </c>
      <c r="B159" s="18" t="s">
        <v>47</v>
      </c>
      <c r="C159" s="18" t="s">
        <v>235</v>
      </c>
      <c r="D159" s="18" t="s">
        <v>93</v>
      </c>
      <c r="E159" s="18" t="s">
        <v>99</v>
      </c>
      <c r="F159" s="18" t="s">
        <v>94</v>
      </c>
      <c r="G159" s="18"/>
      <c r="H159" s="18" t="s">
        <v>634</v>
      </c>
      <c r="I159" s="18" t="s">
        <v>635</v>
      </c>
      <c r="J159" s="19"/>
      <c r="K159" s="19" t="s">
        <v>37</v>
      </c>
      <c r="L159" s="19"/>
      <c r="M159" s="20"/>
      <c r="N159" s="19"/>
      <c r="O159" s="19"/>
    </row>
    <row r="160" customFormat="false" ht="15" hidden="false" customHeight="true" outlineLevel="0" collapsed="false">
      <c r="A160" s="18" t="s">
        <v>636</v>
      </c>
      <c r="B160" s="18" t="s">
        <v>47</v>
      </c>
      <c r="C160" s="18" t="s">
        <v>637</v>
      </c>
      <c r="D160" s="18" t="s">
        <v>132</v>
      </c>
      <c r="E160" s="18" t="s">
        <v>83</v>
      </c>
      <c r="F160" s="18" t="s">
        <v>94</v>
      </c>
      <c r="G160" s="18"/>
      <c r="H160" s="18" t="s">
        <v>638</v>
      </c>
      <c r="I160" s="18" t="s">
        <v>639</v>
      </c>
      <c r="J160" s="19"/>
      <c r="K160" s="19" t="s">
        <v>37</v>
      </c>
      <c r="L160" s="19"/>
      <c r="M160" s="20"/>
      <c r="N160" s="19"/>
      <c r="O160" s="19"/>
    </row>
    <row r="161" customFormat="false" ht="15" hidden="false" customHeight="true" outlineLevel="0" collapsed="false">
      <c r="A161" s="18" t="s">
        <v>640</v>
      </c>
      <c r="B161" s="18" t="s">
        <v>47</v>
      </c>
      <c r="C161" s="18" t="s">
        <v>637</v>
      </c>
      <c r="D161" s="18" t="s">
        <v>132</v>
      </c>
      <c r="E161" s="18" t="s">
        <v>83</v>
      </c>
      <c r="F161" s="18" t="s">
        <v>168</v>
      </c>
      <c r="G161" s="18"/>
      <c r="H161" s="18" t="s">
        <v>641</v>
      </c>
      <c r="I161" s="18" t="s">
        <v>642</v>
      </c>
      <c r="J161" s="19"/>
      <c r="K161" s="19" t="s">
        <v>37</v>
      </c>
      <c r="L161" s="19"/>
      <c r="M161" s="20"/>
      <c r="N161" s="19"/>
      <c r="O161" s="19"/>
    </row>
    <row r="162" customFormat="false" ht="15" hidden="false" customHeight="true" outlineLevel="0" collapsed="false">
      <c r="A162" s="18" t="s">
        <v>643</v>
      </c>
      <c r="B162" s="18" t="s">
        <v>47</v>
      </c>
      <c r="C162" s="18" t="s">
        <v>637</v>
      </c>
      <c r="D162" s="18" t="s">
        <v>106</v>
      </c>
      <c r="E162" s="18" t="s">
        <v>99</v>
      </c>
      <c r="F162" s="18" t="s">
        <v>94</v>
      </c>
      <c r="G162" s="18"/>
      <c r="H162" s="18" t="s">
        <v>644</v>
      </c>
      <c r="I162" s="18" t="s">
        <v>645</v>
      </c>
      <c r="J162" s="19"/>
      <c r="K162" s="19" t="s">
        <v>37</v>
      </c>
      <c r="L162" s="19"/>
      <c r="M162" s="20"/>
      <c r="N162" s="19"/>
      <c r="O162" s="19"/>
    </row>
    <row r="163" customFormat="false" ht="15" hidden="false" customHeight="true" outlineLevel="0" collapsed="false">
      <c r="A163" s="18" t="s">
        <v>646</v>
      </c>
      <c r="B163" s="18" t="s">
        <v>47</v>
      </c>
      <c r="C163" s="18" t="s">
        <v>637</v>
      </c>
      <c r="D163" s="18" t="s">
        <v>82</v>
      </c>
      <c r="E163" s="18" t="s">
        <v>99</v>
      </c>
      <c r="F163" s="18" t="s">
        <v>94</v>
      </c>
      <c r="G163" s="18" t="s">
        <v>647</v>
      </c>
      <c r="H163" s="18" t="s">
        <v>648</v>
      </c>
      <c r="I163" s="18" t="s">
        <v>649</v>
      </c>
      <c r="J163" s="19"/>
      <c r="K163" s="19" t="s">
        <v>37</v>
      </c>
      <c r="L163" s="19"/>
      <c r="M163" s="20"/>
      <c r="N163" s="19"/>
      <c r="O163" s="19"/>
    </row>
    <row r="164" customFormat="false" ht="15" hidden="false" customHeight="true" outlineLevel="0" collapsed="false">
      <c r="A164" s="18" t="s">
        <v>650</v>
      </c>
      <c r="B164" s="18" t="s">
        <v>47</v>
      </c>
      <c r="C164" s="18" t="s">
        <v>651</v>
      </c>
      <c r="D164" s="18" t="s">
        <v>93</v>
      </c>
      <c r="E164" s="18" t="s">
        <v>83</v>
      </c>
      <c r="F164" s="18" t="s">
        <v>94</v>
      </c>
      <c r="G164" s="18" t="s">
        <v>652</v>
      </c>
      <c r="H164" s="18" t="s">
        <v>653</v>
      </c>
      <c r="I164" s="18" t="s">
        <v>654</v>
      </c>
      <c r="J164" s="19"/>
      <c r="K164" s="19" t="s">
        <v>37</v>
      </c>
      <c r="L164" s="19"/>
      <c r="M164" s="20"/>
      <c r="N164" s="19"/>
      <c r="O164" s="19" t="s">
        <v>655</v>
      </c>
    </row>
    <row r="165" customFormat="false" ht="15" hidden="false" customHeight="true" outlineLevel="0" collapsed="false">
      <c r="A165" s="18" t="s">
        <v>656</v>
      </c>
      <c r="B165" s="18" t="s">
        <v>47</v>
      </c>
      <c r="C165" s="18" t="s">
        <v>651</v>
      </c>
      <c r="D165" s="18" t="s">
        <v>82</v>
      </c>
      <c r="E165" s="18" t="s">
        <v>83</v>
      </c>
      <c r="F165" s="18" t="s">
        <v>94</v>
      </c>
      <c r="G165" s="18" t="s">
        <v>657</v>
      </c>
      <c r="H165" s="18" t="s">
        <v>658</v>
      </c>
      <c r="I165" s="18" t="s">
        <v>659</v>
      </c>
      <c r="J165" s="19"/>
      <c r="K165" s="19" t="s">
        <v>37</v>
      </c>
      <c r="L165" s="19"/>
      <c r="M165" s="20"/>
      <c r="N165" s="19"/>
      <c r="O165" s="19" t="s">
        <v>660</v>
      </c>
    </row>
    <row r="166" customFormat="false" ht="15" hidden="false" customHeight="true" outlineLevel="0" collapsed="false">
      <c r="A166" s="18" t="s">
        <v>661</v>
      </c>
      <c r="B166" s="18" t="s">
        <v>47</v>
      </c>
      <c r="C166" s="18" t="s">
        <v>235</v>
      </c>
      <c r="D166" s="18" t="s">
        <v>110</v>
      </c>
      <c r="E166" s="18" t="s">
        <v>111</v>
      </c>
      <c r="F166" s="18" t="s">
        <v>94</v>
      </c>
      <c r="G166" s="18"/>
      <c r="H166" s="18" t="s">
        <v>662</v>
      </c>
      <c r="I166" s="18" t="s">
        <v>663</v>
      </c>
      <c r="J166" s="19"/>
      <c r="K166" s="19" t="s">
        <v>37</v>
      </c>
      <c r="L166" s="19"/>
      <c r="M166" s="20"/>
      <c r="N166" s="19"/>
      <c r="O166" s="19"/>
    </row>
    <row r="167" customFormat="false" ht="15" hidden="false" customHeight="true" outlineLevel="0" collapsed="false">
      <c r="A167" s="18" t="s">
        <v>664</v>
      </c>
      <c r="B167" s="18" t="s">
        <v>47</v>
      </c>
      <c r="C167" s="18" t="s">
        <v>665</v>
      </c>
      <c r="D167" s="18" t="s">
        <v>93</v>
      </c>
      <c r="E167" s="18" t="s">
        <v>83</v>
      </c>
      <c r="F167" s="18" t="s">
        <v>94</v>
      </c>
      <c r="G167" s="18" t="s">
        <v>666</v>
      </c>
      <c r="H167" s="18" t="s">
        <v>667</v>
      </c>
      <c r="I167" s="18" t="s">
        <v>668</v>
      </c>
      <c r="J167" s="19"/>
      <c r="K167" s="19" t="s">
        <v>37</v>
      </c>
      <c r="L167" s="19"/>
      <c r="M167" s="20"/>
      <c r="N167" s="19"/>
      <c r="O167" s="19"/>
    </row>
    <row r="168" customFormat="false" ht="15" hidden="false" customHeight="true" outlineLevel="0" collapsed="false">
      <c r="A168" s="18" t="s">
        <v>669</v>
      </c>
      <c r="B168" s="18" t="s">
        <v>47</v>
      </c>
      <c r="C168" s="18" t="s">
        <v>665</v>
      </c>
      <c r="D168" s="18" t="s">
        <v>82</v>
      </c>
      <c r="E168" s="18" t="s">
        <v>83</v>
      </c>
      <c r="F168" s="18" t="s">
        <v>94</v>
      </c>
      <c r="G168" s="18"/>
      <c r="H168" s="18" t="s">
        <v>670</v>
      </c>
      <c r="I168" s="18" t="s">
        <v>671</v>
      </c>
      <c r="J168" s="19"/>
      <c r="K168" s="19" t="s">
        <v>37</v>
      </c>
      <c r="L168" s="19"/>
      <c r="M168" s="20"/>
      <c r="N168" s="19"/>
      <c r="O168" s="19"/>
    </row>
    <row r="169" customFormat="false" ht="15" hidden="false" customHeight="true" outlineLevel="0" collapsed="false">
      <c r="A169" s="18" t="s">
        <v>672</v>
      </c>
      <c r="B169" s="18" t="s">
        <v>47</v>
      </c>
      <c r="C169" s="18" t="s">
        <v>665</v>
      </c>
      <c r="D169" s="18" t="s">
        <v>82</v>
      </c>
      <c r="E169" s="18" t="s">
        <v>99</v>
      </c>
      <c r="F169" s="18" t="s">
        <v>94</v>
      </c>
      <c r="G169" s="18" t="s">
        <v>673</v>
      </c>
      <c r="H169" s="18" t="s">
        <v>674</v>
      </c>
      <c r="I169" s="18" t="s">
        <v>675</v>
      </c>
      <c r="J169" s="19"/>
      <c r="K169" s="19" t="s">
        <v>37</v>
      </c>
      <c r="L169" s="19"/>
      <c r="M169" s="20"/>
      <c r="N169" s="19"/>
      <c r="O169" s="19"/>
    </row>
    <row r="170" customFormat="false" ht="15" hidden="false" customHeight="true" outlineLevel="0" collapsed="false">
      <c r="A170" s="18" t="s">
        <v>676</v>
      </c>
      <c r="B170" s="18" t="s">
        <v>47</v>
      </c>
      <c r="C170" s="18" t="s">
        <v>75</v>
      </c>
      <c r="D170" s="18" t="s">
        <v>82</v>
      </c>
      <c r="E170" s="18" t="s">
        <v>83</v>
      </c>
      <c r="F170" s="18" t="s">
        <v>94</v>
      </c>
      <c r="G170" s="18"/>
      <c r="H170" s="18" t="s">
        <v>677</v>
      </c>
      <c r="I170" s="18" t="s">
        <v>678</v>
      </c>
      <c r="J170" s="19"/>
      <c r="K170" s="19" t="s">
        <v>37</v>
      </c>
      <c r="L170" s="19"/>
      <c r="M170" s="20"/>
      <c r="N170" s="19"/>
      <c r="O170" s="19"/>
    </row>
    <row r="171" customFormat="false" ht="15" hidden="false" customHeight="true" outlineLevel="0" collapsed="false">
      <c r="A171" s="18" t="s">
        <v>679</v>
      </c>
      <c r="B171" s="18" t="s">
        <v>47</v>
      </c>
      <c r="C171" s="18" t="s">
        <v>75</v>
      </c>
      <c r="D171" s="18" t="s">
        <v>93</v>
      </c>
      <c r="E171" s="18" t="s">
        <v>83</v>
      </c>
      <c r="F171" s="18" t="s">
        <v>94</v>
      </c>
      <c r="G171" s="18"/>
      <c r="H171" s="18" t="s">
        <v>680</v>
      </c>
      <c r="I171" s="18" t="s">
        <v>681</v>
      </c>
      <c r="J171" s="19"/>
      <c r="K171" s="19" t="s">
        <v>37</v>
      </c>
      <c r="L171" s="19"/>
      <c r="M171" s="20"/>
      <c r="N171" s="19"/>
      <c r="O171" s="19"/>
    </row>
    <row r="172" customFormat="false" ht="15" hidden="false" customHeight="true" outlineLevel="0" collapsed="false">
      <c r="A172" s="18" t="s">
        <v>682</v>
      </c>
      <c r="B172" s="18" t="s">
        <v>47</v>
      </c>
      <c r="C172" s="18" t="s">
        <v>75</v>
      </c>
      <c r="D172" s="18" t="s">
        <v>93</v>
      </c>
      <c r="E172" s="18" t="s">
        <v>99</v>
      </c>
      <c r="F172" s="18" t="s">
        <v>94</v>
      </c>
      <c r="G172" s="18" t="s">
        <v>609</v>
      </c>
      <c r="H172" s="18" t="s">
        <v>683</v>
      </c>
      <c r="I172" s="18" t="s">
        <v>684</v>
      </c>
      <c r="J172" s="19"/>
      <c r="K172" s="19" t="s">
        <v>37</v>
      </c>
      <c r="L172" s="19"/>
      <c r="M172" s="20"/>
      <c r="N172" s="19"/>
      <c r="O172" s="19"/>
    </row>
    <row r="173" customFormat="false" ht="15" hidden="false" customHeight="true" outlineLevel="0" collapsed="false">
      <c r="A173" s="18" t="s">
        <v>685</v>
      </c>
      <c r="B173" s="18" t="s">
        <v>47</v>
      </c>
      <c r="C173" s="18" t="s">
        <v>686</v>
      </c>
      <c r="D173" s="18" t="s">
        <v>93</v>
      </c>
      <c r="E173" s="18" t="s">
        <v>99</v>
      </c>
      <c r="F173" s="18" t="s">
        <v>94</v>
      </c>
      <c r="G173" s="18"/>
      <c r="H173" s="18" t="s">
        <v>687</v>
      </c>
      <c r="I173" s="18" t="s">
        <v>688</v>
      </c>
      <c r="J173" s="19"/>
      <c r="K173" s="19" t="s">
        <v>37</v>
      </c>
      <c r="L173" s="19"/>
      <c r="M173" s="20"/>
      <c r="N173" s="19"/>
      <c r="O173" s="19" t="s">
        <v>371</v>
      </c>
    </row>
    <row r="174" customFormat="false" ht="15" hidden="false" customHeight="true" outlineLevel="0" collapsed="false">
      <c r="A174" s="18" t="s">
        <v>689</v>
      </c>
      <c r="B174" s="18" t="s">
        <v>47</v>
      </c>
      <c r="C174" s="18" t="s">
        <v>690</v>
      </c>
      <c r="D174" s="18" t="s">
        <v>93</v>
      </c>
      <c r="E174" s="18" t="s">
        <v>83</v>
      </c>
      <c r="F174" s="18" t="s">
        <v>94</v>
      </c>
      <c r="G174" s="18"/>
      <c r="H174" s="18" t="s">
        <v>691</v>
      </c>
      <c r="I174" s="18" t="s">
        <v>692</v>
      </c>
      <c r="J174" s="19"/>
      <c r="K174" s="19" t="s">
        <v>37</v>
      </c>
      <c r="L174" s="19"/>
      <c r="M174" s="20"/>
      <c r="N174" s="19"/>
      <c r="O174" s="19"/>
    </row>
    <row r="175" customFormat="false" ht="23.25" hidden="false" customHeight="true" outlineLevel="0" collapsed="false">
      <c r="A175" s="18" t="s">
        <v>693</v>
      </c>
      <c r="B175" s="18" t="s">
        <v>47</v>
      </c>
      <c r="C175" s="18" t="s">
        <v>690</v>
      </c>
      <c r="D175" s="18" t="s">
        <v>93</v>
      </c>
      <c r="E175" s="18" t="s">
        <v>83</v>
      </c>
      <c r="F175" s="18" t="s">
        <v>94</v>
      </c>
      <c r="G175" s="18" t="s">
        <v>694</v>
      </c>
      <c r="H175" s="18" t="s">
        <v>695</v>
      </c>
      <c r="I175" s="18" t="s">
        <v>696</v>
      </c>
      <c r="J175" s="19"/>
      <c r="K175" s="19" t="s">
        <v>37</v>
      </c>
      <c r="L175" s="19"/>
      <c r="M175" s="20"/>
      <c r="N175" s="19"/>
      <c r="O175" s="19"/>
    </row>
    <row r="176" customFormat="false" ht="15" hidden="false" customHeight="true" outlineLevel="0" collapsed="false">
      <c r="A176" s="18" t="s">
        <v>697</v>
      </c>
      <c r="B176" s="18" t="s">
        <v>47</v>
      </c>
      <c r="C176" s="18" t="s">
        <v>690</v>
      </c>
      <c r="D176" s="18" t="s">
        <v>110</v>
      </c>
      <c r="E176" s="18" t="s">
        <v>111</v>
      </c>
      <c r="F176" s="18" t="s">
        <v>94</v>
      </c>
      <c r="G176" s="18"/>
      <c r="H176" s="18" t="s">
        <v>698</v>
      </c>
      <c r="I176" s="18" t="s">
        <v>699</v>
      </c>
      <c r="J176" s="19"/>
      <c r="K176" s="19" t="s">
        <v>37</v>
      </c>
      <c r="L176" s="19"/>
      <c r="M176" s="20"/>
      <c r="N176" s="19"/>
      <c r="O176" s="19"/>
    </row>
    <row r="177" customFormat="false" ht="15" hidden="false" customHeight="true" outlineLevel="0" collapsed="false">
      <c r="A177" s="18" t="s">
        <v>700</v>
      </c>
      <c r="B177" s="18" t="s">
        <v>47</v>
      </c>
      <c r="C177" s="18" t="s">
        <v>690</v>
      </c>
      <c r="D177" s="18" t="s">
        <v>82</v>
      </c>
      <c r="E177" s="18" t="s">
        <v>111</v>
      </c>
      <c r="F177" s="18" t="s">
        <v>94</v>
      </c>
      <c r="G177" s="18"/>
      <c r="H177" s="18" t="s">
        <v>701</v>
      </c>
      <c r="I177" s="18" t="s">
        <v>702</v>
      </c>
      <c r="J177" s="19"/>
      <c r="K177" s="19" t="s">
        <v>37</v>
      </c>
      <c r="L177" s="19"/>
      <c r="M177" s="20"/>
      <c r="N177" s="19"/>
      <c r="O177" s="19"/>
    </row>
    <row r="178" customFormat="false" ht="23.25" hidden="false" customHeight="true" outlineLevel="0" collapsed="false">
      <c r="A178" s="18" t="s">
        <v>703</v>
      </c>
      <c r="B178" s="18" t="s">
        <v>47</v>
      </c>
      <c r="C178" s="18" t="s">
        <v>704</v>
      </c>
      <c r="D178" s="18" t="s">
        <v>93</v>
      </c>
      <c r="E178" s="18" t="s">
        <v>99</v>
      </c>
      <c r="F178" s="18" t="s">
        <v>94</v>
      </c>
      <c r="G178" s="18"/>
      <c r="H178" s="18" t="s">
        <v>705</v>
      </c>
      <c r="I178" s="18" t="s">
        <v>706</v>
      </c>
      <c r="J178" s="19"/>
      <c r="K178" s="19" t="s">
        <v>37</v>
      </c>
      <c r="L178" s="19"/>
      <c r="M178" s="20"/>
      <c r="N178" s="19"/>
      <c r="O178" s="19"/>
    </row>
    <row r="179" customFormat="false" ht="23.25" hidden="false" customHeight="true" outlineLevel="0" collapsed="false">
      <c r="A179" s="18" t="s">
        <v>707</v>
      </c>
      <c r="B179" s="18" t="s">
        <v>47</v>
      </c>
      <c r="C179" s="18" t="s">
        <v>708</v>
      </c>
      <c r="D179" s="18" t="s">
        <v>93</v>
      </c>
      <c r="E179" s="18" t="s">
        <v>99</v>
      </c>
      <c r="F179" s="18" t="s">
        <v>94</v>
      </c>
      <c r="G179" s="18"/>
      <c r="H179" s="18" t="s">
        <v>709</v>
      </c>
      <c r="I179" s="18" t="s">
        <v>710</v>
      </c>
      <c r="J179" s="19"/>
      <c r="K179" s="19" t="s">
        <v>37</v>
      </c>
      <c r="L179" s="19"/>
      <c r="M179" s="20"/>
      <c r="N179" s="19"/>
      <c r="O179" s="19"/>
    </row>
    <row r="180" customFormat="false" ht="23.25" hidden="false" customHeight="true" outlineLevel="0" collapsed="false">
      <c r="A180" s="18" t="s">
        <v>711</v>
      </c>
      <c r="B180" s="18" t="s">
        <v>47</v>
      </c>
      <c r="C180" s="18" t="s">
        <v>411</v>
      </c>
      <c r="D180" s="18" t="s">
        <v>132</v>
      </c>
      <c r="E180" s="18" t="s">
        <v>83</v>
      </c>
      <c r="F180" s="18" t="s">
        <v>412</v>
      </c>
      <c r="G180" s="18" t="s">
        <v>413</v>
      </c>
      <c r="H180" s="18" t="s">
        <v>712</v>
      </c>
      <c r="I180" s="18" t="s">
        <v>713</v>
      </c>
      <c r="J180" s="19"/>
      <c r="K180" s="19" t="s">
        <v>37</v>
      </c>
      <c r="L180" s="19"/>
      <c r="M180" s="20"/>
      <c r="N180" s="19"/>
      <c r="O180" s="19"/>
    </row>
    <row r="181" customFormat="false" ht="15" hidden="false" customHeight="true" outlineLevel="0" collapsed="false">
      <c r="A181" s="18" t="s">
        <v>714</v>
      </c>
      <c r="B181" s="18" t="s">
        <v>48</v>
      </c>
      <c r="C181" s="18" t="s">
        <v>715</v>
      </c>
      <c r="D181" s="18" t="s">
        <v>93</v>
      </c>
      <c r="E181" s="18" t="s">
        <v>83</v>
      </c>
      <c r="F181" s="18" t="s">
        <v>94</v>
      </c>
      <c r="G181" s="18"/>
      <c r="H181" s="18" t="s">
        <v>716</v>
      </c>
      <c r="I181" s="18" t="s">
        <v>717</v>
      </c>
      <c r="J181" s="19"/>
      <c r="K181" s="19" t="s">
        <v>37</v>
      </c>
      <c r="L181" s="19"/>
      <c r="M181" s="20"/>
      <c r="N181" s="19"/>
      <c r="O181" s="19"/>
    </row>
    <row r="182" customFormat="false" ht="23.25" hidden="false" customHeight="true" outlineLevel="0" collapsed="false">
      <c r="A182" s="18" t="s">
        <v>718</v>
      </c>
      <c r="B182" s="18" t="s">
        <v>48</v>
      </c>
      <c r="C182" s="18" t="s">
        <v>719</v>
      </c>
      <c r="D182" s="18" t="s">
        <v>93</v>
      </c>
      <c r="E182" s="18" t="s">
        <v>83</v>
      </c>
      <c r="F182" s="18" t="s">
        <v>94</v>
      </c>
      <c r="G182" s="18" t="s">
        <v>239</v>
      </c>
      <c r="H182" s="18" t="s">
        <v>720</v>
      </c>
      <c r="I182" s="18" t="s">
        <v>721</v>
      </c>
      <c r="J182" s="19"/>
      <c r="K182" s="19" t="s">
        <v>37</v>
      </c>
      <c r="L182" s="19"/>
      <c r="M182" s="20"/>
      <c r="N182" s="19"/>
      <c r="O182" s="19"/>
    </row>
    <row r="183" customFormat="false" ht="15" hidden="false" customHeight="true" outlineLevel="0" collapsed="false">
      <c r="A183" s="18" t="s">
        <v>722</v>
      </c>
      <c r="B183" s="18" t="s">
        <v>48</v>
      </c>
      <c r="C183" s="18" t="s">
        <v>723</v>
      </c>
      <c r="D183" s="18" t="s">
        <v>93</v>
      </c>
      <c r="E183" s="18" t="s">
        <v>111</v>
      </c>
      <c r="F183" s="18" t="s">
        <v>94</v>
      </c>
      <c r="G183" s="18" t="s">
        <v>724</v>
      </c>
      <c r="H183" s="18" t="s">
        <v>725</v>
      </c>
      <c r="I183" s="18" t="s">
        <v>726</v>
      </c>
      <c r="J183" s="19"/>
      <c r="K183" s="19" t="s">
        <v>37</v>
      </c>
      <c r="L183" s="19"/>
      <c r="M183" s="20"/>
      <c r="N183" s="19"/>
      <c r="O183" s="19"/>
    </row>
    <row r="184" customFormat="false" ht="15" hidden="false" customHeight="true" outlineLevel="0" collapsed="false">
      <c r="A184" s="18" t="s">
        <v>727</v>
      </c>
      <c r="B184" s="18" t="s">
        <v>48</v>
      </c>
      <c r="C184" s="18" t="s">
        <v>723</v>
      </c>
      <c r="D184" s="18" t="s">
        <v>93</v>
      </c>
      <c r="E184" s="18" t="s">
        <v>99</v>
      </c>
      <c r="F184" s="18" t="s">
        <v>94</v>
      </c>
      <c r="G184" s="18"/>
      <c r="H184" s="18" t="s">
        <v>728</v>
      </c>
      <c r="I184" s="18" t="s">
        <v>729</v>
      </c>
      <c r="J184" s="19"/>
      <c r="K184" s="19" t="s">
        <v>37</v>
      </c>
      <c r="L184" s="19"/>
      <c r="M184" s="20"/>
      <c r="N184" s="19"/>
      <c r="O184" s="19"/>
    </row>
    <row r="185" customFormat="false" ht="15" hidden="false" customHeight="true" outlineLevel="0" collapsed="false">
      <c r="A185" s="18" t="s">
        <v>730</v>
      </c>
      <c r="B185" s="18" t="s">
        <v>48</v>
      </c>
      <c r="C185" s="18" t="s">
        <v>731</v>
      </c>
      <c r="D185" s="18" t="s">
        <v>93</v>
      </c>
      <c r="E185" s="18" t="s">
        <v>83</v>
      </c>
      <c r="F185" s="18" t="s">
        <v>94</v>
      </c>
      <c r="G185" s="18"/>
      <c r="H185" s="18" t="s">
        <v>732</v>
      </c>
      <c r="I185" s="18" t="s">
        <v>733</v>
      </c>
      <c r="J185" s="19"/>
      <c r="K185" s="19" t="s">
        <v>37</v>
      </c>
      <c r="L185" s="19"/>
      <c r="M185" s="20"/>
      <c r="N185" s="19"/>
      <c r="O185" s="19"/>
    </row>
    <row r="186" customFormat="false" ht="15" hidden="false" customHeight="true" outlineLevel="0" collapsed="false">
      <c r="A186" s="18" t="s">
        <v>734</v>
      </c>
      <c r="B186" s="18" t="s">
        <v>48</v>
      </c>
      <c r="C186" s="18" t="s">
        <v>731</v>
      </c>
      <c r="D186" s="18" t="s">
        <v>93</v>
      </c>
      <c r="E186" s="18" t="s">
        <v>99</v>
      </c>
      <c r="F186" s="18" t="s">
        <v>94</v>
      </c>
      <c r="G186" s="18"/>
      <c r="H186" s="18" t="s">
        <v>735</v>
      </c>
      <c r="I186" s="18" t="s">
        <v>736</v>
      </c>
      <c r="J186" s="19"/>
      <c r="K186" s="19" t="s">
        <v>37</v>
      </c>
      <c r="L186" s="19"/>
      <c r="M186" s="20"/>
      <c r="N186" s="19"/>
      <c r="O186" s="19"/>
    </row>
    <row r="187" customFormat="false" ht="15" hidden="false" customHeight="true" outlineLevel="0" collapsed="false">
      <c r="A187" s="18" t="s">
        <v>737</v>
      </c>
      <c r="B187" s="18" t="s">
        <v>48</v>
      </c>
      <c r="C187" s="18" t="s">
        <v>731</v>
      </c>
      <c r="D187" s="18" t="s">
        <v>93</v>
      </c>
      <c r="E187" s="18" t="s">
        <v>83</v>
      </c>
      <c r="F187" s="18" t="s">
        <v>94</v>
      </c>
      <c r="G187" s="18"/>
      <c r="H187" s="18" t="s">
        <v>738</v>
      </c>
      <c r="I187" s="18" t="s">
        <v>739</v>
      </c>
      <c r="J187" s="19"/>
      <c r="K187" s="19" t="s">
        <v>37</v>
      </c>
      <c r="L187" s="19"/>
      <c r="M187" s="20"/>
      <c r="N187" s="19"/>
      <c r="O187" s="19"/>
    </row>
    <row r="188" customFormat="false" ht="23.25" hidden="false" customHeight="true" outlineLevel="0" collapsed="false">
      <c r="A188" s="18" t="s">
        <v>740</v>
      </c>
      <c r="B188" s="18" t="s">
        <v>48</v>
      </c>
      <c r="C188" s="18" t="s">
        <v>741</v>
      </c>
      <c r="D188" s="18" t="s">
        <v>106</v>
      </c>
      <c r="E188" s="18" t="s">
        <v>83</v>
      </c>
      <c r="F188" s="18" t="s">
        <v>94</v>
      </c>
      <c r="G188" s="18"/>
      <c r="H188" s="18" t="s">
        <v>742</v>
      </c>
      <c r="I188" s="18" t="s">
        <v>743</v>
      </c>
      <c r="J188" s="19"/>
      <c r="K188" s="19" t="s">
        <v>37</v>
      </c>
      <c r="L188" s="19"/>
      <c r="M188" s="20"/>
      <c r="N188" s="19"/>
      <c r="O188" s="19"/>
    </row>
    <row r="189" customFormat="false" ht="23.25" hidden="false" customHeight="true" outlineLevel="0" collapsed="false">
      <c r="A189" s="18" t="s">
        <v>744</v>
      </c>
      <c r="B189" s="18" t="s">
        <v>48</v>
      </c>
      <c r="C189" s="18" t="s">
        <v>741</v>
      </c>
      <c r="D189" s="18" t="s">
        <v>93</v>
      </c>
      <c r="E189" s="18" t="s">
        <v>83</v>
      </c>
      <c r="F189" s="18" t="s">
        <v>94</v>
      </c>
      <c r="G189" s="18"/>
      <c r="H189" s="18" t="s">
        <v>741</v>
      </c>
      <c r="I189" s="18" t="s">
        <v>745</v>
      </c>
      <c r="J189" s="19"/>
      <c r="K189" s="19" t="s">
        <v>37</v>
      </c>
      <c r="L189" s="19"/>
      <c r="M189" s="20"/>
      <c r="N189" s="19"/>
      <c r="O189" s="19"/>
    </row>
    <row r="190" customFormat="false" ht="15" hidden="false" customHeight="true" outlineLevel="0" collapsed="false">
      <c r="A190" s="18" t="s">
        <v>746</v>
      </c>
      <c r="B190" s="18" t="s">
        <v>48</v>
      </c>
      <c r="C190" s="18" t="s">
        <v>741</v>
      </c>
      <c r="D190" s="18" t="s">
        <v>93</v>
      </c>
      <c r="E190" s="18" t="s">
        <v>83</v>
      </c>
      <c r="F190" s="18" t="s">
        <v>94</v>
      </c>
      <c r="G190" s="18" t="s">
        <v>747</v>
      </c>
      <c r="H190" s="18" t="s">
        <v>748</v>
      </c>
      <c r="I190" s="18" t="s">
        <v>749</v>
      </c>
      <c r="J190" s="19"/>
      <c r="K190" s="19" t="s">
        <v>37</v>
      </c>
      <c r="L190" s="19"/>
      <c r="M190" s="20"/>
      <c r="N190" s="19"/>
      <c r="O190" s="19"/>
    </row>
    <row r="191" customFormat="false" ht="15" hidden="false" customHeight="true" outlineLevel="0" collapsed="false">
      <c r="A191" s="18" t="s">
        <v>750</v>
      </c>
      <c r="B191" s="18" t="s">
        <v>48</v>
      </c>
      <c r="C191" s="18" t="s">
        <v>741</v>
      </c>
      <c r="D191" s="18" t="s">
        <v>93</v>
      </c>
      <c r="E191" s="18" t="s">
        <v>99</v>
      </c>
      <c r="F191" s="18" t="s">
        <v>94</v>
      </c>
      <c r="G191" s="18"/>
      <c r="H191" s="18" t="s">
        <v>751</v>
      </c>
      <c r="I191" s="18" t="s">
        <v>752</v>
      </c>
      <c r="J191" s="19"/>
      <c r="K191" s="19" t="s">
        <v>37</v>
      </c>
      <c r="L191" s="19"/>
      <c r="M191" s="20"/>
      <c r="N191" s="19"/>
      <c r="O191" s="19"/>
    </row>
    <row r="192" customFormat="false" ht="23.25" hidden="false" customHeight="true" outlineLevel="0" collapsed="false">
      <c r="A192" s="18" t="s">
        <v>753</v>
      </c>
      <c r="B192" s="18" t="s">
        <v>48</v>
      </c>
      <c r="C192" s="18" t="s">
        <v>754</v>
      </c>
      <c r="D192" s="18" t="s">
        <v>93</v>
      </c>
      <c r="E192" s="18" t="s">
        <v>99</v>
      </c>
      <c r="F192" s="18" t="s">
        <v>94</v>
      </c>
      <c r="G192" s="18" t="s">
        <v>755</v>
      </c>
      <c r="H192" s="18" t="s">
        <v>756</v>
      </c>
      <c r="I192" s="18" t="s">
        <v>757</v>
      </c>
      <c r="J192" s="19"/>
      <c r="K192" s="19" t="s">
        <v>37</v>
      </c>
      <c r="L192" s="19"/>
      <c r="M192" s="20"/>
      <c r="N192" s="19"/>
      <c r="O192" s="19"/>
    </row>
    <row r="193" customFormat="false" ht="15" hidden="false" customHeight="true" outlineLevel="0" collapsed="false">
      <c r="A193" s="18" t="s">
        <v>758</v>
      </c>
      <c r="B193" s="18" t="s">
        <v>48</v>
      </c>
      <c r="C193" s="18" t="s">
        <v>357</v>
      </c>
      <c r="D193" s="18" t="s">
        <v>93</v>
      </c>
      <c r="E193" s="18" t="s">
        <v>99</v>
      </c>
      <c r="F193" s="18" t="s">
        <v>94</v>
      </c>
      <c r="G193" s="18"/>
      <c r="H193" s="18" t="s">
        <v>759</v>
      </c>
      <c r="I193" s="18" t="s">
        <v>760</v>
      </c>
      <c r="J193" s="19"/>
      <c r="K193" s="19" t="s">
        <v>37</v>
      </c>
      <c r="L193" s="19"/>
      <c r="M193" s="20"/>
      <c r="N193" s="19"/>
      <c r="O193" s="19"/>
    </row>
    <row r="194" customFormat="false" ht="15" hidden="false" customHeight="true" outlineLevel="0" collapsed="false">
      <c r="A194" s="18" t="s">
        <v>761</v>
      </c>
      <c r="B194" s="18" t="s">
        <v>48</v>
      </c>
      <c r="C194" s="18" t="s">
        <v>762</v>
      </c>
      <c r="D194" s="18" t="s">
        <v>93</v>
      </c>
      <c r="E194" s="18" t="s">
        <v>83</v>
      </c>
      <c r="F194" s="18" t="s">
        <v>94</v>
      </c>
      <c r="G194" s="18" t="s">
        <v>762</v>
      </c>
      <c r="H194" s="18" t="s">
        <v>763</v>
      </c>
      <c r="I194" s="18" t="s">
        <v>764</v>
      </c>
      <c r="J194" s="19"/>
      <c r="K194" s="19" t="s">
        <v>37</v>
      </c>
      <c r="L194" s="19"/>
      <c r="M194" s="20"/>
      <c r="N194" s="19"/>
      <c r="O194" s="19"/>
    </row>
    <row r="195" customFormat="false" ht="15" hidden="false" customHeight="true" outlineLevel="0" collapsed="false">
      <c r="A195" s="18" t="s">
        <v>765</v>
      </c>
      <c r="B195" s="18" t="s">
        <v>48</v>
      </c>
      <c r="C195" s="18" t="s">
        <v>762</v>
      </c>
      <c r="D195" s="18" t="s">
        <v>93</v>
      </c>
      <c r="E195" s="18" t="s">
        <v>99</v>
      </c>
      <c r="F195" s="18" t="s">
        <v>94</v>
      </c>
      <c r="G195" s="18" t="s">
        <v>762</v>
      </c>
      <c r="H195" s="18" t="s">
        <v>766</v>
      </c>
      <c r="I195" s="18" t="s">
        <v>767</v>
      </c>
      <c r="J195" s="19"/>
      <c r="K195" s="19" t="s">
        <v>37</v>
      </c>
      <c r="L195" s="19"/>
      <c r="M195" s="20"/>
      <c r="N195" s="19"/>
      <c r="O195" s="19"/>
    </row>
    <row r="196" customFormat="false" ht="15" hidden="false" customHeight="true" outlineLevel="0" collapsed="false">
      <c r="A196" s="18" t="s">
        <v>768</v>
      </c>
      <c r="B196" s="18" t="s">
        <v>48</v>
      </c>
      <c r="C196" s="18" t="s">
        <v>769</v>
      </c>
      <c r="D196" s="18" t="s">
        <v>82</v>
      </c>
      <c r="E196" s="18" t="s">
        <v>83</v>
      </c>
      <c r="F196" s="18" t="s">
        <v>94</v>
      </c>
      <c r="G196" s="18"/>
      <c r="H196" s="18" t="s">
        <v>770</v>
      </c>
      <c r="I196" s="18" t="s">
        <v>771</v>
      </c>
      <c r="J196" s="19"/>
      <c r="K196" s="19" t="s">
        <v>37</v>
      </c>
      <c r="L196" s="19"/>
      <c r="M196" s="20"/>
      <c r="N196" s="19"/>
      <c r="O196" s="19"/>
    </row>
    <row r="197" customFormat="false" ht="23.25" hidden="false" customHeight="true" outlineLevel="0" collapsed="false">
      <c r="A197" s="18" t="s">
        <v>772</v>
      </c>
      <c r="B197" s="18" t="s">
        <v>48</v>
      </c>
      <c r="C197" s="18" t="s">
        <v>769</v>
      </c>
      <c r="D197" s="18" t="s">
        <v>132</v>
      </c>
      <c r="E197" s="18" t="s">
        <v>83</v>
      </c>
      <c r="F197" s="18" t="s">
        <v>168</v>
      </c>
      <c r="G197" s="18" t="s">
        <v>773</v>
      </c>
      <c r="H197" s="18" t="s">
        <v>774</v>
      </c>
      <c r="I197" s="18" t="s">
        <v>775</v>
      </c>
      <c r="J197" s="19"/>
      <c r="K197" s="19" t="s">
        <v>37</v>
      </c>
      <c r="L197" s="19"/>
      <c r="M197" s="20"/>
      <c r="N197" s="19"/>
      <c r="O197" s="19" t="s">
        <v>371</v>
      </c>
    </row>
    <row r="198" customFormat="false" ht="15" hidden="false" customHeight="true" outlineLevel="0" collapsed="false">
      <c r="A198" s="18" t="s">
        <v>776</v>
      </c>
      <c r="B198" s="18" t="s">
        <v>48</v>
      </c>
      <c r="C198" s="18" t="s">
        <v>412</v>
      </c>
      <c r="D198" s="18" t="s">
        <v>93</v>
      </c>
      <c r="E198" s="18" t="s">
        <v>83</v>
      </c>
      <c r="F198" s="18" t="s">
        <v>412</v>
      </c>
      <c r="G198" s="18" t="s">
        <v>777</v>
      </c>
      <c r="H198" s="18" t="s">
        <v>778</v>
      </c>
      <c r="I198" s="18" t="s">
        <v>779</v>
      </c>
      <c r="J198" s="19"/>
      <c r="K198" s="19" t="s">
        <v>37</v>
      </c>
      <c r="L198" s="19"/>
      <c r="M198" s="20"/>
      <c r="N198" s="19"/>
      <c r="O198" s="19"/>
    </row>
    <row r="199" customFormat="false" ht="15" hidden="false" customHeight="true" outlineLevel="0" collapsed="false">
      <c r="A199" s="18" t="s">
        <v>780</v>
      </c>
      <c r="B199" s="18" t="s">
        <v>48</v>
      </c>
      <c r="C199" s="18" t="s">
        <v>412</v>
      </c>
      <c r="D199" s="18" t="s">
        <v>132</v>
      </c>
      <c r="E199" s="18" t="s">
        <v>83</v>
      </c>
      <c r="F199" s="18" t="s">
        <v>412</v>
      </c>
      <c r="G199" s="18"/>
      <c r="H199" s="18" t="s">
        <v>781</v>
      </c>
      <c r="I199" s="18" t="s">
        <v>782</v>
      </c>
      <c r="J199" s="19"/>
      <c r="K199" s="19" t="s">
        <v>37</v>
      </c>
      <c r="L199" s="19"/>
      <c r="M199" s="20"/>
      <c r="N199" s="19"/>
      <c r="O199" s="19"/>
    </row>
    <row r="200" customFormat="false" ht="15" hidden="false" customHeight="true" outlineLevel="0" collapsed="false">
      <c r="A200" s="18" t="s">
        <v>783</v>
      </c>
      <c r="B200" s="18" t="s">
        <v>48</v>
      </c>
      <c r="C200" s="18" t="s">
        <v>412</v>
      </c>
      <c r="D200" s="18" t="s">
        <v>132</v>
      </c>
      <c r="E200" s="18" t="s">
        <v>99</v>
      </c>
      <c r="F200" s="18" t="s">
        <v>412</v>
      </c>
      <c r="G200" s="18"/>
      <c r="H200" s="18" t="s">
        <v>784</v>
      </c>
      <c r="I200" s="18" t="s">
        <v>785</v>
      </c>
      <c r="J200" s="19"/>
      <c r="K200" s="19" t="s">
        <v>37</v>
      </c>
      <c r="L200" s="19"/>
      <c r="M200" s="20"/>
      <c r="N200" s="19"/>
      <c r="O200" s="19"/>
    </row>
    <row r="201" customFormat="false" ht="15" hidden="false" customHeight="true" outlineLevel="0" collapsed="false">
      <c r="A201" s="18" t="s">
        <v>786</v>
      </c>
      <c r="B201" s="18" t="s">
        <v>48</v>
      </c>
      <c r="C201" s="18" t="s">
        <v>690</v>
      </c>
      <c r="D201" s="18" t="s">
        <v>93</v>
      </c>
      <c r="E201" s="18" t="s">
        <v>99</v>
      </c>
      <c r="F201" s="18" t="s">
        <v>94</v>
      </c>
      <c r="G201" s="18" t="s">
        <v>787</v>
      </c>
      <c r="H201" s="18" t="s">
        <v>788</v>
      </c>
      <c r="I201" s="18" t="s">
        <v>789</v>
      </c>
      <c r="J201" s="19"/>
      <c r="K201" s="19" t="s">
        <v>37</v>
      </c>
      <c r="L201" s="19"/>
      <c r="M201" s="20"/>
      <c r="N201" s="19"/>
      <c r="O201" s="19"/>
    </row>
    <row r="202" customFormat="false" ht="15" hidden="false" customHeight="true" outlineLevel="0" collapsed="false">
      <c r="A202" s="18" t="s">
        <v>790</v>
      </c>
      <c r="B202" s="18" t="s">
        <v>48</v>
      </c>
      <c r="C202" s="18" t="s">
        <v>690</v>
      </c>
      <c r="D202" s="18" t="s">
        <v>93</v>
      </c>
      <c r="E202" s="18" t="s">
        <v>111</v>
      </c>
      <c r="F202" s="18" t="s">
        <v>94</v>
      </c>
      <c r="G202" s="18" t="s">
        <v>791</v>
      </c>
      <c r="H202" s="18" t="s">
        <v>792</v>
      </c>
      <c r="I202" s="18" t="s">
        <v>793</v>
      </c>
      <c r="J202" s="19"/>
      <c r="K202" s="19" t="s">
        <v>37</v>
      </c>
      <c r="L202" s="19"/>
      <c r="M202" s="20"/>
      <c r="N202" s="19"/>
      <c r="O202" s="19"/>
    </row>
    <row r="203" customFormat="false" ht="15" hidden="false" customHeight="true" outlineLevel="0" collapsed="false">
      <c r="A203" s="18" t="s">
        <v>794</v>
      </c>
      <c r="B203" s="18" t="s">
        <v>48</v>
      </c>
      <c r="C203" s="18" t="s">
        <v>795</v>
      </c>
      <c r="D203" s="18" t="s">
        <v>93</v>
      </c>
      <c r="E203" s="18" t="s">
        <v>99</v>
      </c>
      <c r="F203" s="18" t="s">
        <v>94</v>
      </c>
      <c r="G203" s="18"/>
      <c r="H203" s="18" t="s">
        <v>796</v>
      </c>
      <c r="I203" s="18" t="s">
        <v>797</v>
      </c>
      <c r="J203" s="19"/>
      <c r="K203" s="19" t="s">
        <v>37</v>
      </c>
      <c r="L203" s="19"/>
      <c r="M203" s="20"/>
      <c r="N203" s="19"/>
      <c r="O203" s="19"/>
    </row>
    <row r="204" customFormat="false" ht="15" hidden="false" customHeight="true" outlineLevel="0" collapsed="false">
      <c r="A204" s="18" t="s">
        <v>798</v>
      </c>
      <c r="B204" s="18" t="s">
        <v>48</v>
      </c>
      <c r="C204" s="18" t="s">
        <v>799</v>
      </c>
      <c r="D204" s="18" t="s">
        <v>110</v>
      </c>
      <c r="E204" s="18" t="s">
        <v>111</v>
      </c>
      <c r="F204" s="18" t="s">
        <v>94</v>
      </c>
      <c r="G204" s="18" t="s">
        <v>800</v>
      </c>
      <c r="H204" s="18" t="s">
        <v>801</v>
      </c>
      <c r="I204" s="18" t="s">
        <v>802</v>
      </c>
      <c r="J204" s="19"/>
      <c r="K204" s="19" t="s">
        <v>37</v>
      </c>
      <c r="L204" s="19"/>
      <c r="M204" s="20"/>
      <c r="N204" s="19"/>
      <c r="O204" s="19"/>
    </row>
    <row r="205" customFormat="false" ht="34.5" hidden="false" customHeight="true" outlineLevel="0" collapsed="false">
      <c r="A205" s="18" t="s">
        <v>803</v>
      </c>
      <c r="B205" s="18" t="s">
        <v>48</v>
      </c>
      <c r="C205" s="18" t="s">
        <v>804</v>
      </c>
      <c r="D205" s="18" t="s">
        <v>403</v>
      </c>
      <c r="E205" s="18" t="s">
        <v>99</v>
      </c>
      <c r="F205" s="18" t="s">
        <v>94</v>
      </c>
      <c r="G205" s="18" t="s">
        <v>805</v>
      </c>
      <c r="H205" s="18" t="s">
        <v>806</v>
      </c>
      <c r="I205" s="18" t="s">
        <v>807</v>
      </c>
      <c r="J205" s="19"/>
      <c r="K205" s="19" t="s">
        <v>37</v>
      </c>
      <c r="L205" s="19"/>
      <c r="M205" s="20"/>
      <c r="N205" s="19"/>
      <c r="O205" s="19"/>
    </row>
    <row r="206" customFormat="false" ht="23.25" hidden="false" customHeight="true" outlineLevel="0" collapsed="false">
      <c r="A206" s="18" t="s">
        <v>808</v>
      </c>
      <c r="B206" s="18" t="s">
        <v>49</v>
      </c>
      <c r="C206" s="18" t="s">
        <v>809</v>
      </c>
      <c r="D206" s="18" t="s">
        <v>93</v>
      </c>
      <c r="E206" s="18" t="s">
        <v>83</v>
      </c>
      <c r="F206" s="18" t="s">
        <v>94</v>
      </c>
      <c r="G206" s="18" t="s">
        <v>810</v>
      </c>
      <c r="H206" s="18" t="s">
        <v>811</v>
      </c>
      <c r="I206" s="18" t="s">
        <v>812</v>
      </c>
      <c r="J206" s="19"/>
      <c r="K206" s="19" t="s">
        <v>37</v>
      </c>
      <c r="L206" s="19"/>
      <c r="M206" s="20"/>
      <c r="N206" s="19"/>
      <c r="O206" s="19"/>
    </row>
    <row r="207" customFormat="false" ht="15" hidden="false" customHeight="true" outlineLevel="0" collapsed="false">
      <c r="A207" s="18" t="s">
        <v>813</v>
      </c>
      <c r="B207" s="18" t="s">
        <v>49</v>
      </c>
      <c r="C207" s="18" t="s">
        <v>814</v>
      </c>
      <c r="D207" s="18" t="s">
        <v>93</v>
      </c>
      <c r="E207" s="18" t="s">
        <v>83</v>
      </c>
      <c r="F207" s="18" t="s">
        <v>94</v>
      </c>
      <c r="G207" s="18" t="s">
        <v>815</v>
      </c>
      <c r="H207" s="18" t="s">
        <v>816</v>
      </c>
      <c r="I207" s="18" t="s">
        <v>817</v>
      </c>
      <c r="J207" s="19"/>
      <c r="K207" s="19" t="s">
        <v>37</v>
      </c>
      <c r="L207" s="19"/>
      <c r="M207" s="20"/>
      <c r="N207" s="19"/>
      <c r="O207" s="19"/>
    </row>
    <row r="208" customFormat="false" ht="15" hidden="false" customHeight="true" outlineLevel="0" collapsed="false">
      <c r="A208" s="18" t="s">
        <v>818</v>
      </c>
      <c r="B208" s="18" t="s">
        <v>49</v>
      </c>
      <c r="C208" s="18" t="s">
        <v>814</v>
      </c>
      <c r="D208" s="18" t="s">
        <v>93</v>
      </c>
      <c r="E208" s="18" t="s">
        <v>83</v>
      </c>
      <c r="F208" s="18" t="s">
        <v>94</v>
      </c>
      <c r="G208" s="18"/>
      <c r="H208" s="18" t="s">
        <v>819</v>
      </c>
      <c r="I208" s="18" t="s">
        <v>820</v>
      </c>
      <c r="J208" s="19"/>
      <c r="K208" s="19" t="s">
        <v>37</v>
      </c>
      <c r="L208" s="19"/>
      <c r="M208" s="20"/>
      <c r="N208" s="19"/>
      <c r="O208" s="19"/>
    </row>
    <row r="209" customFormat="false" ht="15" hidden="false" customHeight="true" outlineLevel="0" collapsed="false">
      <c r="A209" s="18" t="s">
        <v>821</v>
      </c>
      <c r="B209" s="18" t="s">
        <v>49</v>
      </c>
      <c r="C209" s="18" t="s">
        <v>814</v>
      </c>
      <c r="D209" s="18" t="s">
        <v>82</v>
      </c>
      <c r="E209" s="18" t="s">
        <v>83</v>
      </c>
      <c r="F209" s="18" t="s">
        <v>94</v>
      </c>
      <c r="G209" s="18" t="s">
        <v>822</v>
      </c>
      <c r="H209" s="18" t="s">
        <v>823</v>
      </c>
      <c r="I209" s="18" t="s">
        <v>824</v>
      </c>
      <c r="J209" s="19"/>
      <c r="K209" s="19" t="s">
        <v>37</v>
      </c>
      <c r="L209" s="19"/>
      <c r="M209" s="20"/>
      <c r="N209" s="19"/>
      <c r="O209" s="19"/>
    </row>
    <row r="210" customFormat="false" ht="15" hidden="false" customHeight="true" outlineLevel="0" collapsed="false">
      <c r="A210" s="18" t="s">
        <v>825</v>
      </c>
      <c r="B210" s="18" t="s">
        <v>49</v>
      </c>
      <c r="C210" s="18" t="s">
        <v>814</v>
      </c>
      <c r="D210" s="18" t="s">
        <v>93</v>
      </c>
      <c r="E210" s="18" t="s">
        <v>111</v>
      </c>
      <c r="F210" s="18" t="s">
        <v>94</v>
      </c>
      <c r="G210" s="18" t="s">
        <v>826</v>
      </c>
      <c r="H210" s="18" t="s">
        <v>823</v>
      </c>
      <c r="I210" s="18" t="s">
        <v>827</v>
      </c>
      <c r="J210" s="19"/>
      <c r="K210" s="19" t="s">
        <v>37</v>
      </c>
      <c r="L210" s="19"/>
      <c r="M210" s="20"/>
      <c r="N210" s="19"/>
      <c r="O210" s="19"/>
    </row>
    <row r="211" customFormat="false" ht="15" hidden="false" customHeight="true" outlineLevel="0" collapsed="false">
      <c r="A211" s="18" t="s">
        <v>828</v>
      </c>
      <c r="B211" s="18" t="s">
        <v>49</v>
      </c>
      <c r="C211" s="18" t="s">
        <v>814</v>
      </c>
      <c r="D211" s="18" t="s">
        <v>82</v>
      </c>
      <c r="E211" s="18" t="s">
        <v>83</v>
      </c>
      <c r="F211" s="18" t="s">
        <v>94</v>
      </c>
      <c r="G211" s="18" t="s">
        <v>829</v>
      </c>
      <c r="H211" s="18" t="s">
        <v>823</v>
      </c>
      <c r="I211" s="18" t="s">
        <v>830</v>
      </c>
      <c r="J211" s="19"/>
      <c r="K211" s="19" t="s">
        <v>37</v>
      </c>
      <c r="L211" s="19"/>
      <c r="M211" s="20"/>
      <c r="N211" s="19"/>
      <c r="O211" s="19"/>
    </row>
    <row r="212" customFormat="false" ht="15" hidden="false" customHeight="true" outlineLevel="0" collapsed="false">
      <c r="A212" s="18" t="s">
        <v>831</v>
      </c>
      <c r="B212" s="18" t="s">
        <v>49</v>
      </c>
      <c r="C212" s="18" t="s">
        <v>814</v>
      </c>
      <c r="D212" s="18" t="s">
        <v>106</v>
      </c>
      <c r="E212" s="18" t="s">
        <v>83</v>
      </c>
      <c r="F212" s="18" t="s">
        <v>94</v>
      </c>
      <c r="G212" s="18"/>
      <c r="H212" s="18" t="s">
        <v>832</v>
      </c>
      <c r="I212" s="18" t="s">
        <v>833</v>
      </c>
      <c r="J212" s="19"/>
      <c r="K212" s="19" t="s">
        <v>37</v>
      </c>
      <c r="L212" s="19"/>
      <c r="M212" s="20"/>
      <c r="N212" s="19"/>
      <c r="O212" s="19"/>
    </row>
    <row r="213" customFormat="false" ht="15" hidden="false" customHeight="true" outlineLevel="0" collapsed="false">
      <c r="A213" s="18" t="s">
        <v>834</v>
      </c>
      <c r="B213" s="18" t="s">
        <v>49</v>
      </c>
      <c r="C213" s="18" t="s">
        <v>814</v>
      </c>
      <c r="D213" s="18" t="s">
        <v>106</v>
      </c>
      <c r="E213" s="18" t="s">
        <v>99</v>
      </c>
      <c r="F213" s="18" t="s">
        <v>94</v>
      </c>
      <c r="G213" s="18"/>
      <c r="H213" s="18" t="s">
        <v>835</v>
      </c>
      <c r="I213" s="18" t="s">
        <v>836</v>
      </c>
      <c r="J213" s="19"/>
      <c r="K213" s="19" t="s">
        <v>37</v>
      </c>
      <c r="L213" s="19"/>
      <c r="M213" s="20"/>
      <c r="N213" s="19"/>
      <c r="O213" s="19"/>
    </row>
    <row r="214" customFormat="false" ht="15" hidden="false" customHeight="true" outlineLevel="0" collapsed="false">
      <c r="A214" s="18" t="s">
        <v>837</v>
      </c>
      <c r="B214" s="18" t="s">
        <v>49</v>
      </c>
      <c r="C214" s="18" t="s">
        <v>814</v>
      </c>
      <c r="D214" s="18" t="s">
        <v>82</v>
      </c>
      <c r="E214" s="18" t="s">
        <v>83</v>
      </c>
      <c r="F214" s="18" t="s">
        <v>94</v>
      </c>
      <c r="G214" s="18"/>
      <c r="H214" s="18" t="s">
        <v>838</v>
      </c>
      <c r="I214" s="18" t="s">
        <v>839</v>
      </c>
      <c r="J214" s="19"/>
      <c r="K214" s="19" t="s">
        <v>37</v>
      </c>
      <c r="L214" s="19"/>
      <c r="M214" s="20"/>
      <c r="N214" s="19"/>
      <c r="O214" s="19"/>
    </row>
    <row r="215" customFormat="false" ht="15" hidden="false" customHeight="true" outlineLevel="0" collapsed="false">
      <c r="A215" s="18" t="s">
        <v>840</v>
      </c>
      <c r="B215" s="18" t="s">
        <v>49</v>
      </c>
      <c r="C215" s="18" t="s">
        <v>814</v>
      </c>
      <c r="D215" s="18" t="s">
        <v>93</v>
      </c>
      <c r="E215" s="18" t="s">
        <v>99</v>
      </c>
      <c r="F215" s="18" t="s">
        <v>94</v>
      </c>
      <c r="G215" s="18"/>
      <c r="H215" s="18" t="s">
        <v>841</v>
      </c>
      <c r="I215" s="18" t="s">
        <v>842</v>
      </c>
      <c r="J215" s="19"/>
      <c r="K215" s="19" t="s">
        <v>37</v>
      </c>
      <c r="L215" s="19"/>
      <c r="M215" s="20"/>
      <c r="N215" s="19"/>
      <c r="O215" s="19"/>
    </row>
    <row r="216" customFormat="false" ht="15" hidden="false" customHeight="true" outlineLevel="0" collapsed="false">
      <c r="A216" s="18" t="s">
        <v>843</v>
      </c>
      <c r="B216" s="18" t="s">
        <v>49</v>
      </c>
      <c r="C216" s="18" t="s">
        <v>844</v>
      </c>
      <c r="D216" s="18" t="s">
        <v>93</v>
      </c>
      <c r="E216" s="18" t="s">
        <v>83</v>
      </c>
      <c r="F216" s="18" t="s">
        <v>845</v>
      </c>
      <c r="G216" s="18" t="s">
        <v>846</v>
      </c>
      <c r="H216" s="18" t="s">
        <v>847</v>
      </c>
      <c r="I216" s="18" t="s">
        <v>848</v>
      </c>
      <c r="J216" s="19"/>
      <c r="K216" s="19" t="s">
        <v>37</v>
      </c>
      <c r="L216" s="19"/>
      <c r="M216" s="20"/>
      <c r="N216" s="19"/>
      <c r="O216" s="19"/>
    </row>
    <row r="217" customFormat="false" ht="15" hidden="false" customHeight="true" outlineLevel="0" collapsed="false">
      <c r="A217" s="18" t="s">
        <v>849</v>
      </c>
      <c r="B217" s="18" t="s">
        <v>49</v>
      </c>
      <c r="C217" s="18" t="s">
        <v>844</v>
      </c>
      <c r="D217" s="18" t="s">
        <v>93</v>
      </c>
      <c r="E217" s="18" t="s">
        <v>83</v>
      </c>
      <c r="F217" s="18" t="s">
        <v>845</v>
      </c>
      <c r="G217" s="18"/>
      <c r="H217" s="18" t="s">
        <v>850</v>
      </c>
      <c r="I217" s="18" t="s">
        <v>851</v>
      </c>
      <c r="J217" s="19"/>
      <c r="K217" s="19" t="s">
        <v>37</v>
      </c>
      <c r="L217" s="19"/>
      <c r="M217" s="20"/>
      <c r="N217" s="19"/>
      <c r="O217" s="19"/>
    </row>
    <row r="218" customFormat="false" ht="15" hidden="false" customHeight="true" outlineLevel="0" collapsed="false">
      <c r="A218" s="18" t="s">
        <v>852</v>
      </c>
      <c r="B218" s="18" t="s">
        <v>49</v>
      </c>
      <c r="C218" s="18" t="s">
        <v>844</v>
      </c>
      <c r="D218" s="18" t="s">
        <v>82</v>
      </c>
      <c r="E218" s="18" t="s">
        <v>83</v>
      </c>
      <c r="F218" s="18" t="s">
        <v>94</v>
      </c>
      <c r="G218" s="18" t="s">
        <v>853</v>
      </c>
      <c r="H218" s="18" t="s">
        <v>854</v>
      </c>
      <c r="I218" s="18" t="s">
        <v>855</v>
      </c>
      <c r="J218" s="19"/>
      <c r="K218" s="19" t="s">
        <v>37</v>
      </c>
      <c r="L218" s="19"/>
      <c r="M218" s="20"/>
      <c r="N218" s="19"/>
      <c r="O218" s="19"/>
    </row>
    <row r="219" customFormat="false" ht="15" hidden="false" customHeight="true" outlineLevel="0" collapsed="false">
      <c r="A219" s="18" t="s">
        <v>856</v>
      </c>
      <c r="B219" s="18" t="s">
        <v>49</v>
      </c>
      <c r="C219" s="18" t="s">
        <v>844</v>
      </c>
      <c r="D219" s="18" t="s">
        <v>93</v>
      </c>
      <c r="E219" s="18" t="s">
        <v>99</v>
      </c>
      <c r="F219" s="18" t="s">
        <v>845</v>
      </c>
      <c r="G219" s="18" t="s">
        <v>857</v>
      </c>
      <c r="H219" s="18" t="s">
        <v>858</v>
      </c>
      <c r="I219" s="18" t="s">
        <v>859</v>
      </c>
      <c r="J219" s="19"/>
      <c r="K219" s="19" t="s">
        <v>37</v>
      </c>
      <c r="L219" s="19"/>
      <c r="M219" s="20"/>
      <c r="N219" s="19"/>
      <c r="O219" s="19"/>
    </row>
    <row r="220" customFormat="false" ht="15" hidden="false" customHeight="true" outlineLevel="0" collapsed="false">
      <c r="A220" s="18" t="s">
        <v>860</v>
      </c>
      <c r="B220" s="18" t="s">
        <v>49</v>
      </c>
      <c r="C220" s="18" t="s">
        <v>844</v>
      </c>
      <c r="D220" s="18" t="s">
        <v>82</v>
      </c>
      <c r="E220" s="18" t="s">
        <v>99</v>
      </c>
      <c r="F220" s="18" t="s">
        <v>845</v>
      </c>
      <c r="G220" s="18" t="s">
        <v>861</v>
      </c>
      <c r="H220" s="18" t="s">
        <v>862</v>
      </c>
      <c r="I220" s="18" t="s">
        <v>863</v>
      </c>
      <c r="J220" s="19"/>
      <c r="K220" s="19" t="s">
        <v>37</v>
      </c>
      <c r="L220" s="19"/>
      <c r="M220" s="20"/>
      <c r="N220" s="19"/>
      <c r="O220" s="19"/>
    </row>
    <row r="221" customFormat="false" ht="15" hidden="false" customHeight="true" outlineLevel="0" collapsed="false">
      <c r="A221" s="18" t="s">
        <v>864</v>
      </c>
      <c r="B221" s="18" t="s">
        <v>49</v>
      </c>
      <c r="C221" s="18" t="s">
        <v>254</v>
      </c>
      <c r="D221" s="18" t="s">
        <v>82</v>
      </c>
      <c r="E221" s="18" t="s">
        <v>83</v>
      </c>
      <c r="F221" s="18" t="s">
        <v>94</v>
      </c>
      <c r="G221" s="18" t="s">
        <v>857</v>
      </c>
      <c r="H221" s="18" t="s">
        <v>865</v>
      </c>
      <c r="I221" s="18" t="s">
        <v>866</v>
      </c>
      <c r="J221" s="19"/>
      <c r="K221" s="19" t="s">
        <v>37</v>
      </c>
      <c r="L221" s="19"/>
      <c r="M221" s="20"/>
      <c r="N221" s="19"/>
      <c r="O221" s="19"/>
    </row>
    <row r="222" customFormat="false" ht="15" hidden="false" customHeight="true" outlineLevel="0" collapsed="false">
      <c r="A222" s="18" t="s">
        <v>867</v>
      </c>
      <c r="B222" s="18" t="s">
        <v>49</v>
      </c>
      <c r="C222" s="18" t="s">
        <v>254</v>
      </c>
      <c r="D222" s="18" t="s">
        <v>93</v>
      </c>
      <c r="E222" s="18" t="s">
        <v>99</v>
      </c>
      <c r="F222" s="18" t="s">
        <v>94</v>
      </c>
      <c r="G222" s="18" t="s">
        <v>868</v>
      </c>
      <c r="H222" s="18" t="s">
        <v>865</v>
      </c>
      <c r="I222" s="18" t="s">
        <v>869</v>
      </c>
      <c r="J222" s="19"/>
      <c r="K222" s="19" t="s">
        <v>37</v>
      </c>
      <c r="L222" s="19"/>
      <c r="M222" s="20"/>
      <c r="N222" s="19"/>
      <c r="O222" s="19"/>
    </row>
    <row r="223" customFormat="false" ht="15" hidden="false" customHeight="true" outlineLevel="0" collapsed="false">
      <c r="A223" s="18" t="s">
        <v>870</v>
      </c>
      <c r="B223" s="18" t="s">
        <v>49</v>
      </c>
      <c r="C223" s="18" t="s">
        <v>871</v>
      </c>
      <c r="D223" s="18" t="s">
        <v>93</v>
      </c>
      <c r="E223" s="18" t="s">
        <v>83</v>
      </c>
      <c r="F223" s="18" t="s">
        <v>94</v>
      </c>
      <c r="G223" s="18"/>
      <c r="H223" s="18" t="s">
        <v>872</v>
      </c>
      <c r="I223" s="18" t="s">
        <v>873</v>
      </c>
      <c r="J223" s="19"/>
      <c r="K223" s="19" t="s">
        <v>37</v>
      </c>
      <c r="L223" s="19"/>
      <c r="M223" s="20"/>
      <c r="N223" s="19"/>
      <c r="O223" s="19"/>
    </row>
    <row r="224" customFormat="false" ht="57" hidden="false" customHeight="true" outlineLevel="0" collapsed="false">
      <c r="A224" s="18" t="s">
        <v>874</v>
      </c>
      <c r="B224" s="18" t="s">
        <v>49</v>
      </c>
      <c r="C224" s="18" t="s">
        <v>871</v>
      </c>
      <c r="D224" s="18" t="s">
        <v>132</v>
      </c>
      <c r="E224" s="18" t="s">
        <v>83</v>
      </c>
      <c r="F224" s="18" t="s">
        <v>875</v>
      </c>
      <c r="G224" s="18" t="s">
        <v>876</v>
      </c>
      <c r="H224" s="18" t="s">
        <v>877</v>
      </c>
      <c r="I224" s="18" t="s">
        <v>878</v>
      </c>
      <c r="J224" s="19"/>
      <c r="K224" s="19" t="s">
        <v>37</v>
      </c>
      <c r="L224" s="19"/>
      <c r="M224" s="20"/>
      <c r="N224" s="19"/>
      <c r="O224" s="19"/>
    </row>
    <row r="225" customFormat="false" ht="23.25" hidden="false" customHeight="true" outlineLevel="0" collapsed="false">
      <c r="A225" s="18" t="s">
        <v>879</v>
      </c>
      <c r="B225" s="18" t="s">
        <v>49</v>
      </c>
      <c r="C225" s="18" t="s">
        <v>880</v>
      </c>
      <c r="D225" s="18" t="s">
        <v>93</v>
      </c>
      <c r="E225" s="18" t="s">
        <v>99</v>
      </c>
      <c r="F225" s="18" t="s">
        <v>94</v>
      </c>
      <c r="G225" s="18" t="s">
        <v>881</v>
      </c>
      <c r="H225" s="18" t="s">
        <v>882</v>
      </c>
      <c r="I225" s="18" t="s">
        <v>883</v>
      </c>
      <c r="J225" s="19"/>
      <c r="K225" s="19" t="s">
        <v>37</v>
      </c>
      <c r="L225" s="19"/>
      <c r="M225" s="20"/>
      <c r="N225" s="19"/>
      <c r="O225" s="19"/>
    </row>
    <row r="226" customFormat="false" ht="15" hidden="false" customHeight="true" outlineLevel="0" collapsed="false">
      <c r="A226" s="18" t="s">
        <v>884</v>
      </c>
      <c r="B226" s="18" t="s">
        <v>49</v>
      </c>
      <c r="C226" s="18" t="s">
        <v>262</v>
      </c>
      <c r="D226" s="18" t="s">
        <v>132</v>
      </c>
      <c r="E226" s="18" t="s">
        <v>83</v>
      </c>
      <c r="F226" s="18" t="s">
        <v>885</v>
      </c>
      <c r="G226" s="18" t="s">
        <v>886</v>
      </c>
      <c r="H226" s="18" t="s">
        <v>887</v>
      </c>
      <c r="I226" s="18" t="s">
        <v>888</v>
      </c>
      <c r="J226" s="19"/>
      <c r="K226" s="19" t="s">
        <v>37</v>
      </c>
      <c r="L226" s="19"/>
      <c r="M226" s="20"/>
      <c r="N226" s="19"/>
      <c r="O226" s="19"/>
    </row>
    <row r="227" customFormat="false" ht="23.25" hidden="false" customHeight="true" outlineLevel="0" collapsed="false">
      <c r="A227" s="18" t="s">
        <v>889</v>
      </c>
      <c r="B227" s="18" t="s">
        <v>49</v>
      </c>
      <c r="C227" s="18" t="s">
        <v>890</v>
      </c>
      <c r="D227" s="18" t="s">
        <v>93</v>
      </c>
      <c r="E227" s="18" t="s">
        <v>99</v>
      </c>
      <c r="F227" s="18" t="s">
        <v>94</v>
      </c>
      <c r="G227" s="18" t="s">
        <v>891</v>
      </c>
      <c r="H227" s="18" t="s">
        <v>892</v>
      </c>
      <c r="I227" s="18" t="s">
        <v>893</v>
      </c>
      <c r="J227" s="19"/>
      <c r="K227" s="19" t="s">
        <v>37</v>
      </c>
      <c r="L227" s="19"/>
      <c r="M227" s="20"/>
      <c r="N227" s="19"/>
      <c r="O227" s="19"/>
    </row>
    <row r="228" customFormat="false" ht="15" hidden="false" customHeight="true" outlineLevel="0" collapsed="false">
      <c r="A228" s="18" t="s">
        <v>894</v>
      </c>
      <c r="B228" s="18" t="s">
        <v>49</v>
      </c>
      <c r="C228" s="18" t="s">
        <v>890</v>
      </c>
      <c r="D228" s="18" t="s">
        <v>82</v>
      </c>
      <c r="E228" s="18" t="s">
        <v>99</v>
      </c>
      <c r="F228" s="18" t="s">
        <v>94</v>
      </c>
      <c r="G228" s="18" t="s">
        <v>481</v>
      </c>
      <c r="H228" s="18" t="s">
        <v>895</v>
      </c>
      <c r="I228" s="18" t="s">
        <v>896</v>
      </c>
      <c r="J228" s="19"/>
      <c r="K228" s="19" t="s">
        <v>37</v>
      </c>
      <c r="L228" s="19"/>
      <c r="M228" s="20"/>
      <c r="N228" s="19"/>
      <c r="O228" s="19"/>
    </row>
    <row r="229" customFormat="false" ht="23.25" hidden="false" customHeight="true" outlineLevel="0" collapsed="false">
      <c r="A229" s="18" t="s">
        <v>897</v>
      </c>
      <c r="B229" s="18" t="s">
        <v>50</v>
      </c>
      <c r="C229" s="18" t="s">
        <v>214</v>
      </c>
      <c r="D229" s="18" t="s">
        <v>93</v>
      </c>
      <c r="E229" s="18" t="s">
        <v>83</v>
      </c>
      <c r="F229" s="18" t="s">
        <v>94</v>
      </c>
      <c r="G229" s="18"/>
      <c r="H229" s="18" t="s">
        <v>898</v>
      </c>
      <c r="I229" s="18" t="s">
        <v>899</v>
      </c>
      <c r="J229" s="19"/>
      <c r="K229" s="19" t="s">
        <v>37</v>
      </c>
      <c r="L229" s="19"/>
      <c r="M229" s="20"/>
      <c r="N229" s="19"/>
      <c r="O229" s="19"/>
    </row>
    <row r="230" customFormat="false" ht="23.25" hidden="false" customHeight="true" outlineLevel="0" collapsed="false">
      <c r="A230" s="18" t="s">
        <v>900</v>
      </c>
      <c r="B230" s="18" t="s">
        <v>50</v>
      </c>
      <c r="C230" s="18" t="s">
        <v>218</v>
      </c>
      <c r="D230" s="18" t="s">
        <v>93</v>
      </c>
      <c r="E230" s="18" t="s">
        <v>83</v>
      </c>
      <c r="F230" s="18" t="s">
        <v>94</v>
      </c>
      <c r="G230" s="18"/>
      <c r="H230" s="18" t="s">
        <v>901</v>
      </c>
      <c r="I230" s="18" t="s">
        <v>902</v>
      </c>
      <c r="J230" s="19"/>
      <c r="K230" s="19" t="s">
        <v>37</v>
      </c>
      <c r="L230" s="19"/>
      <c r="M230" s="20"/>
      <c r="N230" s="19"/>
      <c r="O230" s="19"/>
    </row>
    <row r="231" customFormat="false" ht="15" hidden="false" customHeight="true" outlineLevel="0" collapsed="false">
      <c r="A231" s="18" t="s">
        <v>903</v>
      </c>
      <c r="B231" s="18" t="s">
        <v>50</v>
      </c>
      <c r="C231" s="18" t="s">
        <v>218</v>
      </c>
      <c r="D231" s="18" t="s">
        <v>93</v>
      </c>
      <c r="E231" s="18" t="s">
        <v>83</v>
      </c>
      <c r="F231" s="18" t="s">
        <v>94</v>
      </c>
      <c r="G231" s="18"/>
      <c r="H231" s="18" t="s">
        <v>904</v>
      </c>
      <c r="I231" s="18" t="s">
        <v>905</v>
      </c>
      <c r="J231" s="19"/>
      <c r="K231" s="19" t="s">
        <v>37</v>
      </c>
      <c r="L231" s="19"/>
      <c r="M231" s="20"/>
      <c r="N231" s="19"/>
      <c r="O231" s="19"/>
    </row>
    <row r="232" customFormat="false" ht="15" hidden="false" customHeight="true" outlineLevel="0" collapsed="false">
      <c r="A232" s="18" t="s">
        <v>906</v>
      </c>
      <c r="B232" s="18" t="s">
        <v>50</v>
      </c>
      <c r="C232" s="18" t="s">
        <v>218</v>
      </c>
      <c r="D232" s="18" t="s">
        <v>106</v>
      </c>
      <c r="E232" s="18" t="s">
        <v>83</v>
      </c>
      <c r="F232" s="18" t="s">
        <v>94</v>
      </c>
      <c r="G232" s="18"/>
      <c r="H232" s="18" t="s">
        <v>907</v>
      </c>
      <c r="I232" s="18" t="s">
        <v>908</v>
      </c>
      <c r="J232" s="19"/>
      <c r="K232" s="19" t="s">
        <v>37</v>
      </c>
      <c r="L232" s="19"/>
      <c r="M232" s="20"/>
      <c r="N232" s="19"/>
      <c r="O232" s="19"/>
    </row>
    <row r="233" customFormat="false" ht="15" hidden="false" customHeight="true" outlineLevel="0" collapsed="false">
      <c r="A233" s="18" t="s">
        <v>909</v>
      </c>
      <c r="B233" s="18" t="s">
        <v>50</v>
      </c>
      <c r="C233" s="18" t="s">
        <v>218</v>
      </c>
      <c r="D233" s="18" t="s">
        <v>82</v>
      </c>
      <c r="E233" s="18" t="s">
        <v>83</v>
      </c>
      <c r="F233" s="18" t="s">
        <v>94</v>
      </c>
      <c r="G233" s="18"/>
      <c r="H233" s="18" t="s">
        <v>910</v>
      </c>
      <c r="I233" s="18" t="s">
        <v>318</v>
      </c>
      <c r="J233" s="19"/>
      <c r="K233" s="19" t="s">
        <v>37</v>
      </c>
      <c r="L233" s="19"/>
      <c r="M233" s="20"/>
      <c r="N233" s="19"/>
      <c r="O233" s="19"/>
    </row>
    <row r="234" customFormat="false" ht="15" hidden="false" customHeight="true" outlineLevel="0" collapsed="false">
      <c r="A234" s="18" t="s">
        <v>911</v>
      </c>
      <c r="B234" s="18" t="s">
        <v>50</v>
      </c>
      <c r="C234" s="18" t="s">
        <v>218</v>
      </c>
      <c r="D234" s="18" t="s">
        <v>82</v>
      </c>
      <c r="E234" s="18" t="s">
        <v>99</v>
      </c>
      <c r="F234" s="18" t="s">
        <v>94</v>
      </c>
      <c r="G234" s="18"/>
      <c r="H234" s="18" t="s">
        <v>912</v>
      </c>
      <c r="I234" s="18" t="s">
        <v>913</v>
      </c>
      <c r="J234" s="19"/>
      <c r="K234" s="19" t="s">
        <v>37</v>
      </c>
      <c r="L234" s="19"/>
      <c r="M234" s="20"/>
      <c r="N234" s="19"/>
      <c r="O234" s="19"/>
    </row>
    <row r="235" customFormat="false" ht="23.25" hidden="false" customHeight="true" outlineLevel="0" collapsed="false">
      <c r="A235" s="18" t="s">
        <v>914</v>
      </c>
      <c r="B235" s="18" t="s">
        <v>50</v>
      </c>
      <c r="C235" s="18" t="s">
        <v>218</v>
      </c>
      <c r="D235" s="18" t="s">
        <v>93</v>
      </c>
      <c r="E235" s="18" t="s">
        <v>83</v>
      </c>
      <c r="F235" s="18" t="s">
        <v>94</v>
      </c>
      <c r="G235" s="18"/>
      <c r="H235" s="18" t="s">
        <v>915</v>
      </c>
      <c r="I235" s="18" t="s">
        <v>916</v>
      </c>
      <c r="J235" s="19"/>
      <c r="K235" s="19" t="s">
        <v>37</v>
      </c>
      <c r="L235" s="19"/>
      <c r="M235" s="20"/>
      <c r="N235" s="19"/>
      <c r="O235" s="19"/>
    </row>
    <row r="236" customFormat="false" ht="15" hidden="false" customHeight="true" outlineLevel="0" collapsed="false">
      <c r="A236" s="18" t="s">
        <v>917</v>
      </c>
      <c r="B236" s="18" t="s">
        <v>50</v>
      </c>
      <c r="C236" s="18" t="s">
        <v>235</v>
      </c>
      <c r="D236" s="18" t="s">
        <v>93</v>
      </c>
      <c r="E236" s="18" t="s">
        <v>83</v>
      </c>
      <c r="F236" s="18" t="s">
        <v>94</v>
      </c>
      <c r="G236" s="18"/>
      <c r="H236" s="18" t="s">
        <v>918</v>
      </c>
      <c r="I236" s="18" t="s">
        <v>919</v>
      </c>
      <c r="J236" s="19"/>
      <c r="K236" s="19" t="s">
        <v>37</v>
      </c>
      <c r="L236" s="19"/>
      <c r="M236" s="20"/>
      <c r="N236" s="19"/>
      <c r="O236" s="19"/>
    </row>
    <row r="237" customFormat="false" ht="23.25" hidden="false" customHeight="true" outlineLevel="0" collapsed="false">
      <c r="A237" s="18" t="s">
        <v>920</v>
      </c>
      <c r="B237" s="18" t="s">
        <v>50</v>
      </c>
      <c r="C237" s="18" t="s">
        <v>235</v>
      </c>
      <c r="D237" s="18" t="s">
        <v>93</v>
      </c>
      <c r="E237" s="18" t="s">
        <v>83</v>
      </c>
      <c r="F237" s="18" t="s">
        <v>94</v>
      </c>
      <c r="G237" s="18" t="s">
        <v>921</v>
      </c>
      <c r="H237" s="18" t="s">
        <v>922</v>
      </c>
      <c r="I237" s="18" t="s">
        <v>923</v>
      </c>
      <c r="J237" s="19"/>
      <c r="K237" s="19" t="s">
        <v>37</v>
      </c>
      <c r="L237" s="19"/>
      <c r="M237" s="20"/>
      <c r="N237" s="19"/>
      <c r="O237" s="19"/>
    </row>
    <row r="238" customFormat="false" ht="15" hidden="false" customHeight="true" outlineLevel="0" collapsed="false">
      <c r="A238" s="18" t="s">
        <v>924</v>
      </c>
      <c r="B238" s="18" t="s">
        <v>50</v>
      </c>
      <c r="C238" s="18" t="s">
        <v>235</v>
      </c>
      <c r="D238" s="18" t="s">
        <v>82</v>
      </c>
      <c r="E238" s="18" t="s">
        <v>83</v>
      </c>
      <c r="F238" s="18" t="s">
        <v>94</v>
      </c>
      <c r="G238" s="18"/>
      <c r="H238" s="18" t="s">
        <v>925</v>
      </c>
      <c r="I238" s="18" t="s">
        <v>926</v>
      </c>
      <c r="J238" s="19"/>
      <c r="K238" s="19" t="s">
        <v>37</v>
      </c>
      <c r="L238" s="19"/>
      <c r="M238" s="20"/>
      <c r="N238" s="19"/>
      <c r="O238" s="19"/>
    </row>
    <row r="239" customFormat="false" ht="15" hidden="false" customHeight="true" outlineLevel="0" collapsed="false">
      <c r="A239" s="18" t="s">
        <v>927</v>
      </c>
      <c r="B239" s="18" t="s">
        <v>50</v>
      </c>
      <c r="C239" s="18" t="s">
        <v>235</v>
      </c>
      <c r="D239" s="18" t="s">
        <v>82</v>
      </c>
      <c r="E239" s="18" t="s">
        <v>99</v>
      </c>
      <c r="F239" s="18" t="s">
        <v>94</v>
      </c>
      <c r="G239" s="18" t="s">
        <v>928</v>
      </c>
      <c r="H239" s="18" t="s">
        <v>929</v>
      </c>
      <c r="I239" s="18" t="s">
        <v>930</v>
      </c>
      <c r="J239" s="19"/>
      <c r="K239" s="19" t="s">
        <v>37</v>
      </c>
      <c r="L239" s="19"/>
      <c r="M239" s="20"/>
      <c r="N239" s="19"/>
      <c r="O239" s="19"/>
    </row>
    <row r="240" customFormat="false" ht="15" hidden="false" customHeight="true" outlineLevel="0" collapsed="false">
      <c r="A240" s="18" t="s">
        <v>931</v>
      </c>
      <c r="B240" s="18" t="s">
        <v>50</v>
      </c>
      <c r="C240" s="18" t="s">
        <v>75</v>
      </c>
      <c r="D240" s="18" t="s">
        <v>132</v>
      </c>
      <c r="E240" s="18" t="s">
        <v>83</v>
      </c>
      <c r="F240" s="18" t="s">
        <v>94</v>
      </c>
      <c r="G240" s="18" t="s">
        <v>932</v>
      </c>
      <c r="H240" s="18" t="s">
        <v>933</v>
      </c>
      <c r="I240" s="18" t="s">
        <v>934</v>
      </c>
      <c r="J240" s="19"/>
      <c r="K240" s="19" t="s">
        <v>37</v>
      </c>
      <c r="L240" s="19"/>
      <c r="M240" s="20"/>
      <c r="N240" s="19"/>
      <c r="O240" s="19"/>
    </row>
    <row r="241" customFormat="false" ht="15" hidden="false" customHeight="true" outlineLevel="0" collapsed="false">
      <c r="A241" s="18" t="s">
        <v>935</v>
      </c>
      <c r="B241" s="18" t="s">
        <v>50</v>
      </c>
      <c r="C241" s="18" t="s">
        <v>75</v>
      </c>
      <c r="D241" s="18" t="s">
        <v>82</v>
      </c>
      <c r="E241" s="18" t="s">
        <v>83</v>
      </c>
      <c r="F241" s="18" t="s">
        <v>94</v>
      </c>
      <c r="G241" s="18" t="s">
        <v>936</v>
      </c>
      <c r="H241" s="18" t="s">
        <v>937</v>
      </c>
      <c r="I241" s="18" t="s">
        <v>938</v>
      </c>
      <c r="J241" s="19"/>
      <c r="K241" s="19" t="s">
        <v>37</v>
      </c>
      <c r="L241" s="19"/>
      <c r="M241" s="20"/>
      <c r="N241" s="19"/>
      <c r="O241" s="19"/>
    </row>
    <row r="242" customFormat="false" ht="23.25" hidden="false" customHeight="true" outlineLevel="0" collapsed="false">
      <c r="A242" s="18" t="s">
        <v>939</v>
      </c>
      <c r="B242" s="18" t="s">
        <v>50</v>
      </c>
      <c r="C242" s="18" t="s">
        <v>940</v>
      </c>
      <c r="D242" s="18" t="s">
        <v>93</v>
      </c>
      <c r="E242" s="18" t="s">
        <v>83</v>
      </c>
      <c r="F242" s="18" t="s">
        <v>94</v>
      </c>
      <c r="G242" s="18"/>
      <c r="H242" s="18" t="s">
        <v>941</v>
      </c>
      <c r="I242" s="18" t="s">
        <v>942</v>
      </c>
      <c r="J242" s="19"/>
      <c r="K242" s="19" t="s">
        <v>37</v>
      </c>
      <c r="L242" s="19"/>
      <c r="M242" s="20"/>
      <c r="N242" s="19"/>
      <c r="O242" s="19"/>
    </row>
    <row r="243" customFormat="false" ht="15" hidden="false" customHeight="true" outlineLevel="0" collapsed="false">
      <c r="A243" s="18" t="s">
        <v>943</v>
      </c>
      <c r="B243" s="18" t="s">
        <v>50</v>
      </c>
      <c r="C243" s="18" t="s">
        <v>944</v>
      </c>
      <c r="D243" s="18" t="s">
        <v>93</v>
      </c>
      <c r="E243" s="18" t="s">
        <v>83</v>
      </c>
      <c r="F243" s="18" t="s">
        <v>94</v>
      </c>
      <c r="G243" s="18" t="s">
        <v>945</v>
      </c>
      <c r="H243" s="18" t="s">
        <v>946</v>
      </c>
      <c r="I243" s="18" t="s">
        <v>947</v>
      </c>
      <c r="J243" s="19"/>
      <c r="K243" s="19" t="s">
        <v>37</v>
      </c>
      <c r="L243" s="19"/>
      <c r="M243" s="20"/>
      <c r="N243" s="19"/>
      <c r="O243" s="19"/>
    </row>
    <row r="244" customFormat="false" ht="23.25" hidden="false" customHeight="true" outlineLevel="0" collapsed="false">
      <c r="A244" s="18" t="s">
        <v>948</v>
      </c>
      <c r="B244" s="18" t="s">
        <v>50</v>
      </c>
      <c r="C244" s="18" t="s">
        <v>254</v>
      </c>
      <c r="D244" s="18" t="s">
        <v>93</v>
      </c>
      <c r="E244" s="18" t="s">
        <v>83</v>
      </c>
      <c r="F244" s="18" t="s">
        <v>94</v>
      </c>
      <c r="G244" s="18"/>
      <c r="H244" s="18" t="s">
        <v>949</v>
      </c>
      <c r="I244" s="18" t="s">
        <v>950</v>
      </c>
      <c r="J244" s="19"/>
      <c r="K244" s="19" t="s">
        <v>37</v>
      </c>
      <c r="L244" s="19"/>
      <c r="M244" s="20"/>
      <c r="N244" s="19"/>
      <c r="O244" s="19"/>
    </row>
    <row r="245" customFormat="false" ht="15" hidden="false" customHeight="true" outlineLevel="0" collapsed="false">
      <c r="A245" s="18" t="s">
        <v>951</v>
      </c>
      <c r="B245" s="18" t="s">
        <v>50</v>
      </c>
      <c r="C245" s="18" t="s">
        <v>254</v>
      </c>
      <c r="D245" s="18" t="s">
        <v>82</v>
      </c>
      <c r="E245" s="18" t="s">
        <v>99</v>
      </c>
      <c r="F245" s="18" t="s">
        <v>94</v>
      </c>
      <c r="G245" s="18" t="s">
        <v>350</v>
      </c>
      <c r="H245" s="18" t="s">
        <v>952</v>
      </c>
      <c r="I245" s="18" t="s">
        <v>953</v>
      </c>
      <c r="J245" s="19"/>
      <c r="K245" s="19" t="s">
        <v>37</v>
      </c>
      <c r="L245" s="19"/>
      <c r="M245" s="20"/>
      <c r="N245" s="19"/>
      <c r="O245" s="19"/>
    </row>
    <row r="246" customFormat="false" ht="15" hidden="false" customHeight="true" outlineLevel="0" collapsed="false">
      <c r="A246" s="18" t="s">
        <v>954</v>
      </c>
      <c r="B246" s="18" t="s">
        <v>50</v>
      </c>
      <c r="C246" s="18" t="s">
        <v>18</v>
      </c>
      <c r="D246" s="18" t="s">
        <v>132</v>
      </c>
      <c r="E246" s="18" t="s">
        <v>83</v>
      </c>
      <c r="F246" s="18" t="s">
        <v>955</v>
      </c>
      <c r="G246" s="18" t="s">
        <v>956</v>
      </c>
      <c r="H246" s="18" t="s">
        <v>957</v>
      </c>
      <c r="I246" s="18" t="s">
        <v>958</v>
      </c>
      <c r="J246" s="19"/>
      <c r="K246" s="19" t="s">
        <v>37</v>
      </c>
      <c r="L246" s="19"/>
      <c r="M246" s="20"/>
      <c r="N246" s="19"/>
      <c r="O246" s="19"/>
    </row>
    <row r="247" customFormat="false" ht="15" hidden="false" customHeight="true" outlineLevel="0" collapsed="false">
      <c r="A247" s="18" t="s">
        <v>959</v>
      </c>
      <c r="B247" s="18" t="s">
        <v>50</v>
      </c>
      <c r="C247" s="18" t="s">
        <v>960</v>
      </c>
      <c r="D247" s="18" t="s">
        <v>110</v>
      </c>
      <c r="E247" s="18" t="s">
        <v>111</v>
      </c>
      <c r="F247" s="18" t="s">
        <v>94</v>
      </c>
      <c r="G247" s="18"/>
      <c r="H247" s="18" t="s">
        <v>961</v>
      </c>
      <c r="I247" s="18" t="s">
        <v>962</v>
      </c>
      <c r="J247" s="19"/>
      <c r="K247" s="19" t="s">
        <v>37</v>
      </c>
      <c r="L247" s="19"/>
      <c r="M247" s="20"/>
      <c r="N247" s="19"/>
      <c r="O247" s="19"/>
    </row>
    <row r="248" customFormat="false" ht="15" hidden="false" customHeight="true" outlineLevel="0" collapsed="false">
      <c r="A248" s="18" t="s">
        <v>963</v>
      </c>
      <c r="B248" s="18" t="s">
        <v>50</v>
      </c>
      <c r="C248" s="18" t="s">
        <v>964</v>
      </c>
      <c r="D248" s="18" t="s">
        <v>93</v>
      </c>
      <c r="E248" s="18" t="s">
        <v>99</v>
      </c>
      <c r="F248" s="18" t="s">
        <v>94</v>
      </c>
      <c r="G248" s="18"/>
      <c r="H248" s="18" t="s">
        <v>965</v>
      </c>
      <c r="I248" s="18" t="s">
        <v>966</v>
      </c>
      <c r="J248" s="19"/>
      <c r="K248" s="19" t="s">
        <v>37</v>
      </c>
      <c r="L248" s="19"/>
      <c r="M248" s="20"/>
      <c r="N248" s="19"/>
      <c r="O248" s="19"/>
    </row>
    <row r="249" customFormat="false" ht="15" hidden="false" customHeight="true" outlineLevel="0" collapsed="false">
      <c r="A249" s="18" t="s">
        <v>967</v>
      </c>
      <c r="B249" s="18" t="s">
        <v>50</v>
      </c>
      <c r="C249" s="18" t="s">
        <v>262</v>
      </c>
      <c r="D249" s="18" t="s">
        <v>132</v>
      </c>
      <c r="E249" s="18" t="s">
        <v>83</v>
      </c>
      <c r="F249" s="18" t="s">
        <v>168</v>
      </c>
      <c r="G249" s="18" t="s">
        <v>968</v>
      </c>
      <c r="H249" s="18" t="s">
        <v>969</v>
      </c>
      <c r="I249" s="18" t="s">
        <v>970</v>
      </c>
      <c r="J249" s="19"/>
      <c r="K249" s="19" t="s">
        <v>37</v>
      </c>
      <c r="L249" s="19"/>
      <c r="M249" s="20"/>
      <c r="N249" s="19"/>
      <c r="O249" s="19"/>
    </row>
    <row r="250" customFormat="false" ht="23.25" hidden="false" customHeight="true" outlineLevel="0" collapsed="false">
      <c r="A250" s="18" t="s">
        <v>971</v>
      </c>
      <c r="B250" s="18" t="s">
        <v>50</v>
      </c>
      <c r="C250" s="18" t="s">
        <v>972</v>
      </c>
      <c r="D250" s="18" t="s">
        <v>82</v>
      </c>
      <c r="E250" s="18" t="s">
        <v>111</v>
      </c>
      <c r="F250" s="18" t="s">
        <v>94</v>
      </c>
      <c r="G250" s="18" t="s">
        <v>973</v>
      </c>
      <c r="H250" s="18" t="s">
        <v>974</v>
      </c>
      <c r="I250" s="18" t="s">
        <v>975</v>
      </c>
      <c r="J250" s="19"/>
      <c r="K250" s="19" t="s">
        <v>37</v>
      </c>
      <c r="L250" s="19"/>
      <c r="M250" s="20"/>
      <c r="N250" s="19"/>
      <c r="O250" s="19"/>
    </row>
    <row r="251" customFormat="false" ht="15" hidden="false" customHeight="true" outlineLevel="0" collapsed="false">
      <c r="A251" s="18" t="s">
        <v>976</v>
      </c>
      <c r="B251" s="18" t="s">
        <v>51</v>
      </c>
      <c r="C251" s="18" t="s">
        <v>214</v>
      </c>
      <c r="D251" s="18" t="s">
        <v>93</v>
      </c>
      <c r="E251" s="18" t="s">
        <v>83</v>
      </c>
      <c r="F251" s="18" t="s">
        <v>94</v>
      </c>
      <c r="G251" s="18"/>
      <c r="H251" s="18" t="s">
        <v>977</v>
      </c>
      <c r="I251" s="18" t="s">
        <v>978</v>
      </c>
      <c r="J251" s="19"/>
      <c r="K251" s="19" t="s">
        <v>37</v>
      </c>
      <c r="L251" s="19"/>
      <c r="M251" s="20"/>
      <c r="N251" s="19"/>
      <c r="O251" s="19"/>
    </row>
    <row r="252" customFormat="false" ht="23.25" hidden="false" customHeight="true" outlineLevel="0" collapsed="false">
      <c r="A252" s="18" t="s">
        <v>979</v>
      </c>
      <c r="B252" s="18" t="s">
        <v>51</v>
      </c>
      <c r="C252" s="18" t="s">
        <v>218</v>
      </c>
      <c r="D252" s="18" t="s">
        <v>93</v>
      </c>
      <c r="E252" s="18" t="s">
        <v>83</v>
      </c>
      <c r="F252" s="18" t="s">
        <v>94</v>
      </c>
      <c r="G252" s="18"/>
      <c r="H252" s="18" t="s">
        <v>980</v>
      </c>
      <c r="I252" s="18" t="s">
        <v>981</v>
      </c>
      <c r="J252" s="19"/>
      <c r="K252" s="19" t="s">
        <v>37</v>
      </c>
      <c r="L252" s="19"/>
      <c r="M252" s="20"/>
      <c r="N252" s="19"/>
      <c r="O252" s="19"/>
    </row>
    <row r="253" customFormat="false" ht="15" hidden="false" customHeight="true" outlineLevel="0" collapsed="false">
      <c r="A253" s="18" t="s">
        <v>982</v>
      </c>
      <c r="B253" s="18" t="s">
        <v>51</v>
      </c>
      <c r="C253" s="18" t="s">
        <v>983</v>
      </c>
      <c r="D253" s="18" t="s">
        <v>110</v>
      </c>
      <c r="E253" s="18" t="s">
        <v>99</v>
      </c>
      <c r="F253" s="18" t="s">
        <v>94</v>
      </c>
      <c r="G253" s="18"/>
      <c r="H253" s="18" t="s">
        <v>984</v>
      </c>
      <c r="I253" s="18" t="s">
        <v>985</v>
      </c>
      <c r="J253" s="19"/>
      <c r="K253" s="19" t="s">
        <v>37</v>
      </c>
      <c r="L253" s="19"/>
      <c r="M253" s="20"/>
      <c r="N253" s="19"/>
      <c r="O253" s="19"/>
    </row>
    <row r="254" customFormat="false" ht="15" hidden="false" customHeight="true" outlineLevel="0" collapsed="false">
      <c r="A254" s="18" t="s">
        <v>986</v>
      </c>
      <c r="B254" s="18" t="s">
        <v>51</v>
      </c>
      <c r="C254" s="18" t="s">
        <v>983</v>
      </c>
      <c r="D254" s="18" t="s">
        <v>93</v>
      </c>
      <c r="E254" s="18" t="s">
        <v>83</v>
      </c>
      <c r="F254" s="18" t="s">
        <v>94</v>
      </c>
      <c r="G254" s="18"/>
      <c r="H254" s="18" t="s">
        <v>987</v>
      </c>
      <c r="I254" s="18" t="s">
        <v>988</v>
      </c>
      <c r="J254" s="19"/>
      <c r="K254" s="19" t="s">
        <v>37</v>
      </c>
      <c r="L254" s="19"/>
      <c r="M254" s="20"/>
      <c r="N254" s="19"/>
      <c r="O254" s="19"/>
    </row>
    <row r="255" customFormat="false" ht="15" hidden="false" customHeight="true" outlineLevel="0" collapsed="false">
      <c r="A255" s="18" t="s">
        <v>989</v>
      </c>
      <c r="B255" s="18" t="s">
        <v>51</v>
      </c>
      <c r="C255" s="18" t="s">
        <v>218</v>
      </c>
      <c r="D255" s="18" t="s">
        <v>82</v>
      </c>
      <c r="E255" s="18" t="s">
        <v>99</v>
      </c>
      <c r="F255" s="18" t="s">
        <v>94</v>
      </c>
      <c r="G255" s="18"/>
      <c r="H255" s="18" t="s">
        <v>990</v>
      </c>
      <c r="I255" s="18" t="s">
        <v>455</v>
      </c>
      <c r="J255" s="19"/>
      <c r="K255" s="19" t="s">
        <v>37</v>
      </c>
      <c r="L255" s="19"/>
      <c r="M255" s="20"/>
      <c r="N255" s="19"/>
      <c r="O255" s="19"/>
    </row>
    <row r="256" customFormat="false" ht="23.25" hidden="false" customHeight="true" outlineLevel="0" collapsed="false">
      <c r="A256" s="18" t="s">
        <v>991</v>
      </c>
      <c r="B256" s="18" t="s">
        <v>51</v>
      </c>
      <c r="C256" s="18" t="s">
        <v>235</v>
      </c>
      <c r="D256" s="18" t="s">
        <v>93</v>
      </c>
      <c r="E256" s="18" t="s">
        <v>83</v>
      </c>
      <c r="F256" s="18" t="s">
        <v>94</v>
      </c>
      <c r="G256" s="18" t="s">
        <v>992</v>
      </c>
      <c r="H256" s="18" t="s">
        <v>993</v>
      </c>
      <c r="I256" s="18" t="s">
        <v>994</v>
      </c>
      <c r="J256" s="19"/>
      <c r="K256" s="19" t="s">
        <v>37</v>
      </c>
      <c r="L256" s="19"/>
      <c r="M256" s="20"/>
      <c r="N256" s="19"/>
      <c r="O256" s="19"/>
    </row>
    <row r="257" customFormat="false" ht="23.25" hidden="false" customHeight="true" outlineLevel="0" collapsed="false">
      <c r="A257" s="18" t="s">
        <v>995</v>
      </c>
      <c r="B257" s="18" t="s">
        <v>51</v>
      </c>
      <c r="C257" s="18" t="s">
        <v>75</v>
      </c>
      <c r="D257" s="18" t="s">
        <v>93</v>
      </c>
      <c r="E257" s="18" t="s">
        <v>99</v>
      </c>
      <c r="F257" s="18" t="s">
        <v>94</v>
      </c>
      <c r="G257" s="18"/>
      <c r="H257" s="18" t="s">
        <v>996</v>
      </c>
      <c r="I257" s="18" t="s">
        <v>997</v>
      </c>
      <c r="J257" s="19"/>
      <c r="K257" s="19" t="s">
        <v>37</v>
      </c>
      <c r="L257" s="19"/>
      <c r="M257" s="20"/>
      <c r="N257" s="19"/>
      <c r="O257" s="19"/>
    </row>
    <row r="258" customFormat="false" ht="15" hidden="false" customHeight="true" outlineLevel="0" collapsed="false">
      <c r="A258" s="18" t="s">
        <v>998</v>
      </c>
      <c r="B258" s="18" t="s">
        <v>51</v>
      </c>
      <c r="C258" s="18" t="s">
        <v>254</v>
      </c>
      <c r="D258" s="18" t="s">
        <v>82</v>
      </c>
      <c r="E258" s="18" t="s">
        <v>99</v>
      </c>
      <c r="F258" s="18" t="s">
        <v>94</v>
      </c>
      <c r="G258" s="18" t="s">
        <v>999</v>
      </c>
      <c r="H258" s="18" t="s">
        <v>1000</v>
      </c>
      <c r="I258" s="18" t="s">
        <v>1001</v>
      </c>
      <c r="J258" s="19"/>
      <c r="K258" s="19" t="s">
        <v>37</v>
      </c>
      <c r="L258" s="19"/>
      <c r="M258" s="20"/>
      <c r="N258" s="19"/>
      <c r="O258" s="19"/>
    </row>
    <row r="259" customFormat="false" ht="23.25" hidden="false" customHeight="true" outlineLevel="0" collapsed="false">
      <c r="A259" s="18" t="s">
        <v>1002</v>
      </c>
      <c r="B259" s="18" t="s">
        <v>51</v>
      </c>
      <c r="C259" s="18" t="s">
        <v>1003</v>
      </c>
      <c r="D259" s="18" t="s">
        <v>403</v>
      </c>
      <c r="E259" s="18" t="s">
        <v>99</v>
      </c>
      <c r="F259" s="18" t="s">
        <v>94</v>
      </c>
      <c r="G259" s="18"/>
      <c r="H259" s="18" t="s">
        <v>1004</v>
      </c>
      <c r="I259" s="18" t="s">
        <v>1005</v>
      </c>
      <c r="J259" s="19"/>
      <c r="K259" s="19" t="s">
        <v>37</v>
      </c>
      <c r="L259" s="19"/>
      <c r="M259" s="20"/>
      <c r="N259" s="19"/>
      <c r="O259" s="19"/>
    </row>
    <row r="260" customFormat="false" ht="15" hidden="false" customHeight="true" outlineLevel="0" collapsed="false">
      <c r="A260" s="18" t="s">
        <v>1006</v>
      </c>
      <c r="B260" s="18" t="s">
        <v>51</v>
      </c>
      <c r="C260" s="18" t="s">
        <v>132</v>
      </c>
      <c r="D260" s="18" t="s">
        <v>132</v>
      </c>
      <c r="E260" s="18" t="s">
        <v>83</v>
      </c>
      <c r="F260" s="18" t="s">
        <v>1007</v>
      </c>
      <c r="G260" s="18" t="s">
        <v>1008</v>
      </c>
      <c r="H260" s="18" t="s">
        <v>1009</v>
      </c>
      <c r="I260" s="18" t="s">
        <v>1010</v>
      </c>
      <c r="J260" s="19"/>
      <c r="K260" s="19" t="s">
        <v>37</v>
      </c>
      <c r="L260" s="19"/>
      <c r="M260" s="20"/>
      <c r="N260" s="19"/>
      <c r="O260" s="19"/>
    </row>
    <row r="261" customFormat="false" ht="15" hidden="false" customHeight="true" outlineLevel="0" collapsed="false">
      <c r="A261" s="18" t="s">
        <v>1011</v>
      </c>
      <c r="B261" s="18" t="s">
        <v>51</v>
      </c>
      <c r="C261" s="18" t="s">
        <v>262</v>
      </c>
      <c r="D261" s="18" t="s">
        <v>132</v>
      </c>
      <c r="E261" s="18" t="s">
        <v>83</v>
      </c>
      <c r="F261" s="18" t="s">
        <v>168</v>
      </c>
      <c r="G261" s="18" t="s">
        <v>1012</v>
      </c>
      <c r="H261" s="18" t="s">
        <v>977</v>
      </c>
      <c r="I261" s="18" t="s">
        <v>1013</v>
      </c>
      <c r="J261" s="19"/>
      <c r="K261" s="19" t="s">
        <v>37</v>
      </c>
      <c r="L261" s="19"/>
      <c r="M261" s="20"/>
      <c r="N261" s="19"/>
      <c r="O261" s="19"/>
    </row>
    <row r="262" customFormat="false" ht="15" hidden="false" customHeight="true" outlineLevel="0" collapsed="false">
      <c r="A262" s="18" t="s">
        <v>1014</v>
      </c>
      <c r="B262" s="18" t="s">
        <v>52</v>
      </c>
      <c r="C262" s="18" t="s">
        <v>1015</v>
      </c>
      <c r="D262" s="18" t="s">
        <v>93</v>
      </c>
      <c r="E262" s="18" t="s">
        <v>83</v>
      </c>
      <c r="F262" s="18" t="s">
        <v>1016</v>
      </c>
      <c r="G262" s="18" t="s">
        <v>116</v>
      </c>
      <c r="H262" s="18" t="s">
        <v>1017</v>
      </c>
      <c r="I262" s="18" t="s">
        <v>1018</v>
      </c>
      <c r="J262" s="19"/>
      <c r="K262" s="19" t="s">
        <v>37</v>
      </c>
      <c r="L262" s="19"/>
      <c r="M262" s="20"/>
      <c r="N262" s="19"/>
      <c r="O262" s="19"/>
    </row>
    <row r="263" customFormat="false" ht="23.25" hidden="false" customHeight="true" outlineLevel="0" collapsed="false">
      <c r="A263" s="18" t="s">
        <v>1019</v>
      </c>
      <c r="B263" s="18" t="s">
        <v>52</v>
      </c>
      <c r="C263" s="18" t="s">
        <v>1015</v>
      </c>
      <c r="D263" s="18" t="s">
        <v>93</v>
      </c>
      <c r="E263" s="18" t="s">
        <v>83</v>
      </c>
      <c r="F263" s="18" t="s">
        <v>1016</v>
      </c>
      <c r="G263" s="18"/>
      <c r="H263" s="18" t="s">
        <v>1020</v>
      </c>
      <c r="I263" s="18" t="s">
        <v>1021</v>
      </c>
      <c r="J263" s="19"/>
      <c r="K263" s="19" t="s">
        <v>37</v>
      </c>
      <c r="L263" s="19"/>
      <c r="M263" s="20"/>
      <c r="N263" s="19"/>
      <c r="O263" s="19"/>
    </row>
    <row r="264" customFormat="false" ht="15" hidden="false" customHeight="true" outlineLevel="0" collapsed="false">
      <c r="A264" s="18" t="s">
        <v>1022</v>
      </c>
      <c r="B264" s="18" t="s">
        <v>52</v>
      </c>
      <c r="C264" s="18" t="s">
        <v>1015</v>
      </c>
      <c r="D264" s="18" t="s">
        <v>132</v>
      </c>
      <c r="E264" s="18" t="s">
        <v>83</v>
      </c>
      <c r="F264" s="18" t="s">
        <v>1016</v>
      </c>
      <c r="G264" s="18"/>
      <c r="H264" s="18" t="s">
        <v>1023</v>
      </c>
      <c r="I264" s="18" t="s">
        <v>1024</v>
      </c>
      <c r="J264" s="19"/>
      <c r="K264" s="19" t="s">
        <v>37</v>
      </c>
      <c r="L264" s="19"/>
      <c r="M264" s="20"/>
      <c r="N264" s="19"/>
      <c r="O264" s="19"/>
    </row>
    <row r="265" customFormat="false" ht="15" hidden="false" customHeight="true" outlineLevel="0" collapsed="false">
      <c r="A265" s="18" t="s">
        <v>1025</v>
      </c>
      <c r="B265" s="18" t="s">
        <v>52</v>
      </c>
      <c r="C265" s="18" t="s">
        <v>1015</v>
      </c>
      <c r="D265" s="18" t="s">
        <v>106</v>
      </c>
      <c r="E265" s="18" t="s">
        <v>99</v>
      </c>
      <c r="F265" s="18" t="s">
        <v>1016</v>
      </c>
      <c r="G265" s="18"/>
      <c r="H265" s="18" t="s">
        <v>1026</v>
      </c>
      <c r="I265" s="18" t="s">
        <v>1027</v>
      </c>
      <c r="J265" s="19"/>
      <c r="K265" s="19" t="s">
        <v>37</v>
      </c>
      <c r="L265" s="19"/>
      <c r="M265" s="20"/>
      <c r="N265" s="19"/>
      <c r="O265" s="19"/>
    </row>
    <row r="266" customFormat="false" ht="15" hidden="false" customHeight="true" outlineLevel="0" collapsed="false">
      <c r="A266" s="18" t="s">
        <v>1028</v>
      </c>
      <c r="B266" s="18" t="s">
        <v>52</v>
      </c>
      <c r="C266" s="18" t="s">
        <v>964</v>
      </c>
      <c r="D266" s="18" t="s">
        <v>93</v>
      </c>
      <c r="E266" s="18" t="s">
        <v>99</v>
      </c>
      <c r="F266" s="18" t="s">
        <v>1016</v>
      </c>
      <c r="G266" s="18"/>
      <c r="H266" s="18" t="s">
        <v>1029</v>
      </c>
      <c r="I266" s="18" t="s">
        <v>289</v>
      </c>
      <c r="J266" s="19"/>
      <c r="K266" s="19" t="s">
        <v>37</v>
      </c>
      <c r="L266" s="19"/>
      <c r="M266" s="20"/>
      <c r="N266" s="19"/>
      <c r="O266" s="19"/>
    </row>
    <row r="267" customFormat="false" ht="15" hidden="false" customHeight="true" outlineLevel="0" collapsed="false">
      <c r="A267" s="18" t="s">
        <v>1030</v>
      </c>
      <c r="B267" s="18" t="s">
        <v>52</v>
      </c>
      <c r="C267" s="18" t="s">
        <v>1031</v>
      </c>
      <c r="D267" s="18" t="s">
        <v>93</v>
      </c>
      <c r="E267" s="18" t="s">
        <v>83</v>
      </c>
      <c r="F267" s="18" t="s">
        <v>1016</v>
      </c>
      <c r="G267" s="18"/>
      <c r="H267" s="18" t="s">
        <v>1032</v>
      </c>
      <c r="I267" s="18" t="s">
        <v>1033</v>
      </c>
      <c r="J267" s="19"/>
      <c r="K267" s="19" t="s">
        <v>37</v>
      </c>
      <c r="L267" s="19"/>
      <c r="M267" s="20"/>
      <c r="N267" s="19"/>
      <c r="O267" s="19"/>
    </row>
    <row r="268" customFormat="false" ht="15" hidden="false" customHeight="true" outlineLevel="0" collapsed="false">
      <c r="A268" s="18" t="s">
        <v>1034</v>
      </c>
      <c r="B268" s="18" t="s">
        <v>52</v>
      </c>
      <c r="C268" s="18" t="s">
        <v>1031</v>
      </c>
      <c r="D268" s="18" t="s">
        <v>82</v>
      </c>
      <c r="E268" s="18" t="s">
        <v>83</v>
      </c>
      <c r="F268" s="18" t="s">
        <v>1016</v>
      </c>
      <c r="G268" s="18"/>
      <c r="H268" s="18" t="s">
        <v>1035</v>
      </c>
      <c r="I268" s="18" t="s">
        <v>1036</v>
      </c>
      <c r="J268" s="19"/>
      <c r="K268" s="19" t="s">
        <v>37</v>
      </c>
      <c r="L268" s="19"/>
      <c r="M268" s="20"/>
      <c r="N268" s="19"/>
      <c r="O268" s="19"/>
    </row>
    <row r="269" customFormat="false" ht="15" hidden="false" customHeight="true" outlineLevel="0" collapsed="false">
      <c r="A269" s="18" t="s">
        <v>1037</v>
      </c>
      <c r="B269" s="18" t="s">
        <v>52</v>
      </c>
      <c r="C269" s="18" t="s">
        <v>1038</v>
      </c>
      <c r="D269" s="18" t="s">
        <v>110</v>
      </c>
      <c r="E269" s="18" t="s">
        <v>111</v>
      </c>
      <c r="F269" s="18" t="s">
        <v>1016</v>
      </c>
      <c r="G269" s="18"/>
      <c r="H269" s="18" t="s">
        <v>1039</v>
      </c>
      <c r="I269" s="18" t="s">
        <v>1040</v>
      </c>
      <c r="J269" s="19"/>
      <c r="K269" s="19" t="s">
        <v>37</v>
      </c>
      <c r="L269" s="19"/>
      <c r="M269" s="20"/>
      <c r="N269" s="19"/>
      <c r="O269" s="19"/>
    </row>
    <row r="270" customFormat="false" ht="15" hidden="false" customHeight="true" outlineLevel="0" collapsed="false">
      <c r="A270" s="18" t="s">
        <v>1041</v>
      </c>
      <c r="B270" s="18" t="s">
        <v>52</v>
      </c>
      <c r="C270" s="18" t="s">
        <v>1042</v>
      </c>
      <c r="D270" s="18" t="s">
        <v>93</v>
      </c>
      <c r="E270" s="18" t="s">
        <v>83</v>
      </c>
      <c r="F270" s="18" t="s">
        <v>1043</v>
      </c>
      <c r="G270" s="18" t="s">
        <v>1044</v>
      </c>
      <c r="H270" s="18" t="s">
        <v>1045</v>
      </c>
      <c r="I270" s="18" t="s">
        <v>1046</v>
      </c>
      <c r="J270" s="19"/>
      <c r="K270" s="19" t="s">
        <v>37</v>
      </c>
      <c r="L270" s="19"/>
      <c r="M270" s="20"/>
      <c r="N270" s="19"/>
      <c r="O270" s="19"/>
    </row>
    <row r="271" customFormat="false" ht="23.25" hidden="false" customHeight="true" outlineLevel="0" collapsed="false">
      <c r="A271" s="18" t="s">
        <v>1047</v>
      </c>
      <c r="B271" s="18" t="s">
        <v>53</v>
      </c>
      <c r="C271" s="18" t="s">
        <v>246</v>
      </c>
      <c r="D271" s="18" t="s">
        <v>93</v>
      </c>
      <c r="E271" s="18" t="s">
        <v>83</v>
      </c>
      <c r="F271" s="18" t="s">
        <v>94</v>
      </c>
      <c r="G271" s="18"/>
      <c r="H271" s="18" t="s">
        <v>1048</v>
      </c>
      <c r="I271" s="18" t="s">
        <v>1049</v>
      </c>
      <c r="J271" s="19"/>
      <c r="K271" s="19" t="s">
        <v>37</v>
      </c>
      <c r="L271" s="19"/>
      <c r="M271" s="20"/>
      <c r="N271" s="19"/>
      <c r="O271" s="19"/>
    </row>
    <row r="272" customFormat="false" ht="15" hidden="false" customHeight="true" outlineLevel="0" collapsed="false">
      <c r="A272" s="18" t="s">
        <v>1050</v>
      </c>
      <c r="B272" s="18" t="s">
        <v>53</v>
      </c>
      <c r="C272" s="18" t="s">
        <v>235</v>
      </c>
      <c r="D272" s="18" t="s">
        <v>93</v>
      </c>
      <c r="E272" s="18" t="s">
        <v>83</v>
      </c>
      <c r="F272" s="18" t="s">
        <v>94</v>
      </c>
      <c r="G272" s="18"/>
      <c r="H272" s="18" t="s">
        <v>1051</v>
      </c>
      <c r="I272" s="18" t="s">
        <v>1052</v>
      </c>
      <c r="J272" s="19"/>
      <c r="K272" s="19" t="s">
        <v>37</v>
      </c>
      <c r="L272" s="19"/>
      <c r="M272" s="20"/>
      <c r="N272" s="19"/>
      <c r="O272" s="19"/>
    </row>
    <row r="273" customFormat="false" ht="15" hidden="false" customHeight="true" outlineLevel="0" collapsed="false">
      <c r="A273" s="18" t="s">
        <v>1053</v>
      </c>
      <c r="B273" s="18" t="s">
        <v>53</v>
      </c>
      <c r="C273" s="18" t="s">
        <v>235</v>
      </c>
      <c r="D273" s="18" t="s">
        <v>106</v>
      </c>
      <c r="E273" s="18" t="s">
        <v>83</v>
      </c>
      <c r="F273" s="18" t="s">
        <v>94</v>
      </c>
      <c r="G273" s="18"/>
      <c r="H273" s="18" t="s">
        <v>1054</v>
      </c>
      <c r="I273" s="18" t="s">
        <v>1055</v>
      </c>
      <c r="J273" s="19"/>
      <c r="K273" s="19" t="s">
        <v>37</v>
      </c>
      <c r="L273" s="19"/>
      <c r="M273" s="20"/>
      <c r="N273" s="19"/>
      <c r="O273" s="19"/>
    </row>
    <row r="274" customFormat="false" ht="15" hidden="false" customHeight="true" outlineLevel="0" collapsed="false">
      <c r="A274" s="18" t="s">
        <v>1056</v>
      </c>
      <c r="B274" s="18" t="s">
        <v>53</v>
      </c>
      <c r="C274" s="18" t="s">
        <v>235</v>
      </c>
      <c r="D274" s="18" t="s">
        <v>106</v>
      </c>
      <c r="E274" s="18" t="s">
        <v>83</v>
      </c>
      <c r="F274" s="18" t="s">
        <v>94</v>
      </c>
      <c r="G274" s="18"/>
      <c r="H274" s="18" t="s">
        <v>1057</v>
      </c>
      <c r="I274" s="18" t="s">
        <v>1058</v>
      </c>
      <c r="J274" s="19"/>
      <c r="K274" s="19" t="s">
        <v>37</v>
      </c>
      <c r="L274" s="19"/>
      <c r="M274" s="20"/>
      <c r="N274" s="19"/>
      <c r="O274" s="19"/>
    </row>
    <row r="275" customFormat="false" ht="15" hidden="false" customHeight="true" outlineLevel="0" collapsed="false">
      <c r="A275" s="18" t="s">
        <v>1059</v>
      </c>
      <c r="B275" s="18" t="s">
        <v>53</v>
      </c>
      <c r="C275" s="18" t="s">
        <v>235</v>
      </c>
      <c r="D275" s="18" t="s">
        <v>106</v>
      </c>
      <c r="E275" s="18" t="s">
        <v>83</v>
      </c>
      <c r="F275" s="18" t="s">
        <v>94</v>
      </c>
      <c r="G275" s="18"/>
      <c r="H275" s="18" t="s">
        <v>1060</v>
      </c>
      <c r="I275" s="18" t="s">
        <v>1061</v>
      </c>
      <c r="J275" s="19"/>
      <c r="K275" s="19" t="s">
        <v>37</v>
      </c>
      <c r="L275" s="19"/>
      <c r="M275" s="20"/>
      <c r="N275" s="19"/>
      <c r="O275" s="19"/>
    </row>
    <row r="276" customFormat="false" ht="15" hidden="false" customHeight="true" outlineLevel="0" collapsed="false">
      <c r="A276" s="18" t="s">
        <v>1062</v>
      </c>
      <c r="B276" s="18" t="s">
        <v>53</v>
      </c>
      <c r="C276" s="18" t="s">
        <v>235</v>
      </c>
      <c r="D276" s="18" t="s">
        <v>93</v>
      </c>
      <c r="E276" s="18" t="s">
        <v>99</v>
      </c>
      <c r="F276" s="18" t="s">
        <v>94</v>
      </c>
      <c r="G276" s="18"/>
      <c r="H276" s="18" t="s">
        <v>1063</v>
      </c>
      <c r="I276" s="18" t="s">
        <v>1064</v>
      </c>
      <c r="J276" s="19"/>
      <c r="K276" s="19" t="s">
        <v>37</v>
      </c>
      <c r="L276" s="19"/>
      <c r="M276" s="20"/>
      <c r="N276" s="19"/>
      <c r="O276" s="19"/>
    </row>
    <row r="277" customFormat="false" ht="15" hidden="false" customHeight="true" outlineLevel="0" collapsed="false">
      <c r="A277" s="18" t="s">
        <v>1065</v>
      </c>
      <c r="B277" s="18" t="s">
        <v>53</v>
      </c>
      <c r="C277" s="18" t="s">
        <v>972</v>
      </c>
      <c r="D277" s="18" t="s">
        <v>82</v>
      </c>
      <c r="E277" s="18" t="s">
        <v>99</v>
      </c>
      <c r="F277" s="18" t="s">
        <v>94</v>
      </c>
      <c r="G277" s="18" t="s">
        <v>1066</v>
      </c>
      <c r="H277" s="18" t="s">
        <v>1067</v>
      </c>
      <c r="I277" s="18" t="s">
        <v>1068</v>
      </c>
      <c r="J277" s="19"/>
      <c r="K277" s="19" t="s">
        <v>37</v>
      </c>
      <c r="L277" s="19"/>
      <c r="M277" s="20"/>
      <c r="N277" s="19"/>
      <c r="O277" s="19"/>
    </row>
    <row r="278" customFormat="false" ht="15" hidden="false" customHeight="true" outlineLevel="0" collapsed="false">
      <c r="A278" s="18" t="s">
        <v>1069</v>
      </c>
      <c r="B278" s="18" t="s">
        <v>53</v>
      </c>
      <c r="C278" s="18" t="s">
        <v>262</v>
      </c>
      <c r="D278" s="18" t="s">
        <v>132</v>
      </c>
      <c r="E278" s="18" t="s">
        <v>83</v>
      </c>
      <c r="F278" s="18" t="s">
        <v>885</v>
      </c>
      <c r="G278" s="18" t="s">
        <v>1070</v>
      </c>
      <c r="H278" s="18" t="s">
        <v>1048</v>
      </c>
      <c r="I278" s="18" t="s">
        <v>1013</v>
      </c>
      <c r="J278" s="19"/>
      <c r="K278" s="19" t="s">
        <v>37</v>
      </c>
      <c r="L278" s="19"/>
      <c r="M278" s="20"/>
      <c r="N278" s="19"/>
      <c r="O278" s="19"/>
    </row>
    <row r="279" customFormat="false" ht="23.25" hidden="false" customHeight="true" outlineLevel="0" collapsed="false">
      <c r="A279" s="18" t="s">
        <v>1071</v>
      </c>
      <c r="B279" s="18" t="s">
        <v>53</v>
      </c>
      <c r="C279" s="18" t="s">
        <v>262</v>
      </c>
      <c r="D279" s="18" t="s">
        <v>132</v>
      </c>
      <c r="E279" s="18" t="s">
        <v>99</v>
      </c>
      <c r="F279" s="18" t="s">
        <v>1072</v>
      </c>
      <c r="G279" s="18"/>
      <c r="H279" s="18" t="s">
        <v>1048</v>
      </c>
      <c r="I279" s="18" t="s">
        <v>1073</v>
      </c>
      <c r="J279" s="19"/>
      <c r="K279" s="19" t="s">
        <v>37</v>
      </c>
      <c r="L279" s="19"/>
      <c r="M279" s="20"/>
      <c r="N279" s="19"/>
      <c r="O279" s="19"/>
    </row>
    <row r="280" customFormat="false" ht="15" hidden="false" customHeight="true" outlineLevel="0" collapsed="false">
      <c r="A280" s="18" t="s">
        <v>1074</v>
      </c>
      <c r="B280" s="18" t="s">
        <v>54</v>
      </c>
      <c r="C280" s="18" t="s">
        <v>54</v>
      </c>
      <c r="D280" s="18" t="s">
        <v>93</v>
      </c>
      <c r="E280" s="18" t="s">
        <v>111</v>
      </c>
      <c r="F280" s="18" t="s">
        <v>94</v>
      </c>
      <c r="G280" s="18"/>
      <c r="H280" s="18" t="s">
        <v>1075</v>
      </c>
      <c r="I280" s="18" t="s">
        <v>1076</v>
      </c>
      <c r="J280" s="19"/>
      <c r="K280" s="19" t="s">
        <v>37</v>
      </c>
      <c r="L280" s="19"/>
      <c r="M280" s="20"/>
      <c r="N280" s="19"/>
      <c r="O280" s="19"/>
    </row>
    <row r="281" customFormat="false" ht="23.25" hidden="false" customHeight="true" outlineLevel="0" collapsed="false">
      <c r="A281" s="18" t="s">
        <v>1077</v>
      </c>
      <c r="B281" s="18" t="s">
        <v>55</v>
      </c>
      <c r="C281" s="18" t="s">
        <v>168</v>
      </c>
      <c r="D281" s="18" t="s">
        <v>132</v>
      </c>
      <c r="E281" s="18" t="s">
        <v>83</v>
      </c>
      <c r="F281" s="18" t="s">
        <v>168</v>
      </c>
      <c r="G281" s="18"/>
      <c r="H281" s="18" t="s">
        <v>1078</v>
      </c>
      <c r="I281" s="18" t="s">
        <v>1079</v>
      </c>
      <c r="J281" s="19"/>
      <c r="K281" s="19" t="s">
        <v>37</v>
      </c>
      <c r="L281" s="19"/>
      <c r="M281" s="20"/>
      <c r="N281" s="19"/>
      <c r="O281" s="19"/>
    </row>
    <row r="282" customFormat="false" ht="15" hidden="false" customHeight="true" outlineLevel="0" collapsed="false">
      <c r="A282" s="18" t="s">
        <v>1080</v>
      </c>
      <c r="B282" s="18" t="s">
        <v>55</v>
      </c>
      <c r="C282" s="18" t="s">
        <v>168</v>
      </c>
      <c r="D282" s="18" t="s">
        <v>132</v>
      </c>
      <c r="E282" s="18" t="s">
        <v>83</v>
      </c>
      <c r="F282" s="18" t="s">
        <v>168</v>
      </c>
      <c r="G282" s="18" t="s">
        <v>1081</v>
      </c>
      <c r="H282" s="18" t="s">
        <v>1082</v>
      </c>
      <c r="I282" s="18" t="s">
        <v>1083</v>
      </c>
      <c r="J282" s="19"/>
      <c r="K282" s="19" t="s">
        <v>37</v>
      </c>
      <c r="L282" s="19"/>
      <c r="M282" s="20"/>
      <c r="N282" s="19"/>
      <c r="O282" s="19"/>
    </row>
    <row r="283" customFormat="false" ht="23.25" hidden="false" customHeight="true" outlineLevel="0" collapsed="false">
      <c r="A283" s="18" t="s">
        <v>1084</v>
      </c>
      <c r="B283" s="18" t="s">
        <v>55</v>
      </c>
      <c r="C283" s="18" t="s">
        <v>1085</v>
      </c>
      <c r="D283" s="18" t="s">
        <v>132</v>
      </c>
      <c r="E283" s="18" t="s">
        <v>99</v>
      </c>
      <c r="F283" s="18" t="s">
        <v>1085</v>
      </c>
      <c r="G283" s="18"/>
      <c r="H283" s="18" t="s">
        <v>1086</v>
      </c>
      <c r="I283" s="18" t="s">
        <v>1087</v>
      </c>
      <c r="J283" s="19"/>
      <c r="K283" s="19" t="s">
        <v>37</v>
      </c>
      <c r="L283" s="19"/>
      <c r="M283" s="20"/>
      <c r="N283" s="19"/>
      <c r="O283" s="19" t="s">
        <v>371</v>
      </c>
    </row>
    <row r="284" customFormat="false" ht="15" hidden="false" customHeight="true" outlineLevel="0" collapsed="false">
      <c r="A284" s="18" t="s">
        <v>1088</v>
      </c>
      <c r="B284" s="18" t="s">
        <v>55</v>
      </c>
      <c r="C284" s="18" t="s">
        <v>412</v>
      </c>
      <c r="D284" s="18" t="s">
        <v>93</v>
      </c>
      <c r="E284" s="18" t="s">
        <v>83</v>
      </c>
      <c r="F284" s="18" t="s">
        <v>412</v>
      </c>
      <c r="G284" s="18"/>
      <c r="H284" s="18" t="s">
        <v>1089</v>
      </c>
      <c r="I284" s="18" t="s">
        <v>1090</v>
      </c>
      <c r="J284" s="19"/>
      <c r="K284" s="19" t="s">
        <v>37</v>
      </c>
      <c r="L284" s="19"/>
      <c r="M284" s="20"/>
      <c r="N284" s="19"/>
      <c r="O284" s="19"/>
    </row>
    <row r="285" customFormat="false" ht="15" hidden="false" customHeight="true" outlineLevel="0" collapsed="false">
      <c r="A285" s="18" t="s">
        <v>1091</v>
      </c>
      <c r="B285" s="18" t="s">
        <v>55</v>
      </c>
      <c r="C285" s="18" t="s">
        <v>412</v>
      </c>
      <c r="D285" s="18" t="s">
        <v>132</v>
      </c>
      <c r="E285" s="18" t="s">
        <v>83</v>
      </c>
      <c r="F285" s="18" t="s">
        <v>412</v>
      </c>
      <c r="G285" s="18"/>
      <c r="H285" s="18" t="s">
        <v>1092</v>
      </c>
      <c r="I285" s="18" t="s">
        <v>1093</v>
      </c>
      <c r="J285" s="19"/>
      <c r="K285" s="19" t="s">
        <v>37</v>
      </c>
      <c r="L285" s="19"/>
      <c r="M285" s="20"/>
      <c r="N285" s="19"/>
      <c r="O285" s="19" t="s">
        <v>371</v>
      </c>
    </row>
    <row r="286" customFormat="false" ht="23.25" hidden="false" customHeight="true" outlineLevel="0" collapsed="false">
      <c r="A286" s="18" t="s">
        <v>1094</v>
      </c>
      <c r="B286" s="18" t="s">
        <v>55</v>
      </c>
      <c r="C286" s="18" t="s">
        <v>1095</v>
      </c>
      <c r="D286" s="18" t="s">
        <v>93</v>
      </c>
      <c r="E286" s="18" t="s">
        <v>83</v>
      </c>
      <c r="F286" s="18" t="s">
        <v>94</v>
      </c>
      <c r="G286" s="18" t="s">
        <v>1096</v>
      </c>
      <c r="H286" s="18" t="s">
        <v>1097</v>
      </c>
      <c r="I286" s="18" t="s">
        <v>1098</v>
      </c>
      <c r="J286" s="19"/>
      <c r="K286" s="19" t="s">
        <v>37</v>
      </c>
      <c r="L286" s="19"/>
      <c r="M286" s="20"/>
      <c r="N286" s="19"/>
      <c r="O286" s="19"/>
    </row>
    <row r="287" customFormat="false" ht="15" hidden="false" customHeight="true" outlineLevel="0" collapsed="false">
      <c r="A287" s="18" t="s">
        <v>1099</v>
      </c>
      <c r="B287" s="18" t="s">
        <v>55</v>
      </c>
      <c r="C287" s="18" t="s">
        <v>1100</v>
      </c>
      <c r="D287" s="18" t="s">
        <v>132</v>
      </c>
      <c r="E287" s="18" t="s">
        <v>83</v>
      </c>
      <c r="F287" s="18" t="s">
        <v>133</v>
      </c>
      <c r="G287" s="18" t="s">
        <v>1101</v>
      </c>
      <c r="H287" s="18" t="s">
        <v>1102</v>
      </c>
      <c r="I287" s="18" t="s">
        <v>1103</v>
      </c>
      <c r="J287" s="19"/>
      <c r="K287" s="19" t="s">
        <v>37</v>
      </c>
      <c r="L287" s="19"/>
      <c r="M287" s="20"/>
      <c r="N287" s="19"/>
      <c r="O287" s="19"/>
    </row>
    <row r="288" customFormat="false" ht="23.25" hidden="false" customHeight="true" outlineLevel="0" collapsed="false">
      <c r="A288" s="18" t="s">
        <v>1104</v>
      </c>
      <c r="B288" s="18" t="s">
        <v>55</v>
      </c>
      <c r="C288" s="18" t="s">
        <v>1105</v>
      </c>
      <c r="D288" s="18" t="s">
        <v>132</v>
      </c>
      <c r="E288" s="18" t="s">
        <v>83</v>
      </c>
      <c r="F288" s="18" t="s">
        <v>133</v>
      </c>
      <c r="G288" s="18"/>
      <c r="H288" s="18" t="s">
        <v>1106</v>
      </c>
      <c r="I288" s="18" t="s">
        <v>1107</v>
      </c>
      <c r="J288" s="19"/>
      <c r="K288" s="19" t="s">
        <v>37</v>
      </c>
      <c r="L288" s="19"/>
      <c r="M288" s="20"/>
      <c r="N288" s="19"/>
      <c r="O288" s="19"/>
    </row>
    <row r="289" customFormat="false" ht="57" hidden="false" customHeight="true" outlineLevel="0" collapsed="false">
      <c r="A289" s="18" t="s">
        <v>1108</v>
      </c>
      <c r="B289" s="18" t="s">
        <v>56</v>
      </c>
      <c r="C289" s="18" t="s">
        <v>1109</v>
      </c>
      <c r="D289" s="18" t="s">
        <v>93</v>
      </c>
      <c r="E289" s="18" t="s">
        <v>83</v>
      </c>
      <c r="F289" s="18" t="s">
        <v>94</v>
      </c>
      <c r="G289" s="18" t="s">
        <v>1110</v>
      </c>
      <c r="H289" s="18" t="s">
        <v>1111</v>
      </c>
      <c r="I289" s="18" t="s">
        <v>1112</v>
      </c>
      <c r="J289" s="19"/>
      <c r="K289" s="19" t="s">
        <v>37</v>
      </c>
      <c r="L289" s="19"/>
      <c r="M289" s="20"/>
      <c r="N289" s="19"/>
      <c r="O289" s="19"/>
    </row>
    <row r="290" customFormat="false" ht="23.25" hidden="false" customHeight="true" outlineLevel="0" collapsed="false">
      <c r="A290" s="18" t="s">
        <v>1113</v>
      </c>
      <c r="B290" s="18" t="s">
        <v>56</v>
      </c>
      <c r="C290" s="18" t="s">
        <v>1109</v>
      </c>
      <c r="D290" s="18" t="s">
        <v>93</v>
      </c>
      <c r="E290" s="18" t="s">
        <v>83</v>
      </c>
      <c r="F290" s="18" t="s">
        <v>94</v>
      </c>
      <c r="G290" s="18" t="s">
        <v>1114</v>
      </c>
      <c r="H290" s="18" t="s">
        <v>1115</v>
      </c>
      <c r="I290" s="18" t="s">
        <v>1116</v>
      </c>
      <c r="J290" s="19"/>
      <c r="K290" s="19" t="s">
        <v>37</v>
      </c>
      <c r="L290" s="19"/>
      <c r="M290" s="20"/>
      <c r="N290" s="19"/>
      <c r="O290" s="19"/>
    </row>
    <row r="291" customFormat="false" ht="15" hidden="false" customHeight="true" outlineLevel="0" collapsed="false">
      <c r="A291" s="18" t="s">
        <v>1117</v>
      </c>
      <c r="B291" s="18" t="s">
        <v>56</v>
      </c>
      <c r="C291" s="18" t="s">
        <v>1109</v>
      </c>
      <c r="D291" s="18" t="s">
        <v>93</v>
      </c>
      <c r="E291" s="18" t="s">
        <v>83</v>
      </c>
      <c r="F291" s="18" t="s">
        <v>94</v>
      </c>
      <c r="G291" s="18" t="s">
        <v>1118</v>
      </c>
      <c r="H291" s="18" t="s">
        <v>1119</v>
      </c>
      <c r="I291" s="18" t="s">
        <v>1120</v>
      </c>
      <c r="J291" s="19"/>
      <c r="K291" s="19" t="s">
        <v>37</v>
      </c>
      <c r="L291" s="19"/>
      <c r="M291" s="20"/>
      <c r="N291" s="19"/>
      <c r="O291" s="19"/>
    </row>
    <row r="292" customFormat="false" ht="23.25" hidden="false" customHeight="true" outlineLevel="0" collapsed="false">
      <c r="A292" s="18" t="s">
        <v>1121</v>
      </c>
      <c r="B292" s="18" t="s">
        <v>56</v>
      </c>
      <c r="C292" s="18" t="s">
        <v>1109</v>
      </c>
      <c r="D292" s="18" t="s">
        <v>132</v>
      </c>
      <c r="E292" s="18" t="s">
        <v>83</v>
      </c>
      <c r="F292" s="18" t="s">
        <v>1122</v>
      </c>
      <c r="G292" s="18" t="s">
        <v>1123</v>
      </c>
      <c r="H292" s="18" t="s">
        <v>1124</v>
      </c>
      <c r="I292" s="18" t="s">
        <v>1125</v>
      </c>
      <c r="J292" s="19"/>
      <c r="K292" s="19" t="s">
        <v>37</v>
      </c>
      <c r="L292" s="19"/>
      <c r="M292" s="20"/>
      <c r="N292" s="19"/>
      <c r="O292" s="19"/>
    </row>
    <row r="293" customFormat="false" ht="23.25" hidden="false" customHeight="true" outlineLevel="0" collapsed="false">
      <c r="A293" s="18" t="s">
        <v>1126</v>
      </c>
      <c r="B293" s="18" t="s">
        <v>56</v>
      </c>
      <c r="C293" s="18" t="s">
        <v>1109</v>
      </c>
      <c r="D293" s="18" t="s">
        <v>93</v>
      </c>
      <c r="E293" s="18" t="s">
        <v>99</v>
      </c>
      <c r="F293" s="18" t="s">
        <v>94</v>
      </c>
      <c r="G293" s="18"/>
      <c r="H293" s="18" t="s">
        <v>1127</v>
      </c>
      <c r="I293" s="18" t="s">
        <v>1128</v>
      </c>
      <c r="J293" s="19"/>
      <c r="K293" s="19" t="s">
        <v>37</v>
      </c>
      <c r="L293" s="19"/>
      <c r="M293" s="20"/>
      <c r="N293" s="19"/>
      <c r="O293" s="19"/>
    </row>
    <row r="294" customFormat="false" ht="34.5" hidden="false" customHeight="true" outlineLevel="0" collapsed="false">
      <c r="A294" s="18" t="s">
        <v>1129</v>
      </c>
      <c r="B294" s="18" t="s">
        <v>56</v>
      </c>
      <c r="C294" s="18" t="s">
        <v>1130</v>
      </c>
      <c r="D294" s="18" t="s">
        <v>93</v>
      </c>
      <c r="E294" s="18" t="s">
        <v>83</v>
      </c>
      <c r="F294" s="18" t="s">
        <v>94</v>
      </c>
      <c r="G294" s="18"/>
      <c r="H294" s="18" t="s">
        <v>1131</v>
      </c>
      <c r="I294" s="18" t="s">
        <v>1132</v>
      </c>
      <c r="J294" s="19"/>
      <c r="K294" s="19" t="s">
        <v>37</v>
      </c>
      <c r="L294" s="19"/>
      <c r="M294" s="20"/>
      <c r="N294" s="19"/>
      <c r="O294" s="19"/>
    </row>
    <row r="295" customFormat="false" ht="23.25" hidden="false" customHeight="true" outlineLevel="0" collapsed="false">
      <c r="A295" s="18" t="s">
        <v>1133</v>
      </c>
      <c r="B295" s="18" t="s">
        <v>56</v>
      </c>
      <c r="C295" s="18" t="s">
        <v>1130</v>
      </c>
      <c r="D295" s="18" t="s">
        <v>93</v>
      </c>
      <c r="E295" s="18" t="s">
        <v>99</v>
      </c>
      <c r="F295" s="18" t="s">
        <v>94</v>
      </c>
      <c r="G295" s="18"/>
      <c r="H295" s="18" t="s">
        <v>1134</v>
      </c>
      <c r="I295" s="18" t="s">
        <v>1135</v>
      </c>
      <c r="J295" s="19"/>
      <c r="K295" s="19" t="s">
        <v>37</v>
      </c>
      <c r="L295" s="19"/>
      <c r="M295" s="20"/>
      <c r="N295" s="19"/>
      <c r="O295" s="19"/>
    </row>
    <row r="296" customFormat="false" ht="23.25" hidden="false" customHeight="true" outlineLevel="0" collapsed="false">
      <c r="A296" s="18" t="s">
        <v>1136</v>
      </c>
      <c r="B296" s="18" t="s">
        <v>56</v>
      </c>
      <c r="C296" s="18" t="s">
        <v>1137</v>
      </c>
      <c r="D296" s="18" t="s">
        <v>93</v>
      </c>
      <c r="E296" s="18" t="s">
        <v>99</v>
      </c>
      <c r="F296" s="18" t="s">
        <v>94</v>
      </c>
      <c r="G296" s="18"/>
      <c r="H296" s="18" t="s">
        <v>1138</v>
      </c>
      <c r="I296" s="18" t="s">
        <v>1139</v>
      </c>
      <c r="J296" s="19"/>
      <c r="K296" s="19" t="s">
        <v>37</v>
      </c>
      <c r="L296" s="19"/>
      <c r="M296" s="20"/>
      <c r="N296" s="19"/>
      <c r="O296" s="19"/>
    </row>
    <row r="297" customFormat="false" ht="23.25" hidden="false" customHeight="true" outlineLevel="0" collapsed="false">
      <c r="A297" s="18" t="s">
        <v>1140</v>
      </c>
      <c r="B297" s="18" t="s">
        <v>56</v>
      </c>
      <c r="C297" s="18" t="s">
        <v>1141</v>
      </c>
      <c r="D297" s="18" t="s">
        <v>93</v>
      </c>
      <c r="E297" s="18" t="s">
        <v>99</v>
      </c>
      <c r="F297" s="18" t="s">
        <v>94</v>
      </c>
      <c r="G297" s="18"/>
      <c r="H297" s="18" t="s">
        <v>1142</v>
      </c>
      <c r="I297" s="18" t="s">
        <v>1143</v>
      </c>
      <c r="J297" s="19"/>
      <c r="K297" s="19" t="s">
        <v>37</v>
      </c>
      <c r="L297" s="19"/>
      <c r="M297" s="20"/>
      <c r="N297" s="19"/>
      <c r="O297" s="19"/>
    </row>
    <row r="298" customFormat="false" ht="23.25" hidden="false" customHeight="true" outlineLevel="0" collapsed="false">
      <c r="A298" s="18" t="s">
        <v>1144</v>
      </c>
      <c r="B298" s="18" t="s">
        <v>56</v>
      </c>
      <c r="C298" s="18" t="s">
        <v>1145</v>
      </c>
      <c r="D298" s="18" t="s">
        <v>93</v>
      </c>
      <c r="E298" s="18" t="s">
        <v>83</v>
      </c>
      <c r="F298" s="18" t="s">
        <v>94</v>
      </c>
      <c r="G298" s="18"/>
      <c r="H298" s="18" t="s">
        <v>1146</v>
      </c>
      <c r="I298" s="18" t="s">
        <v>1147</v>
      </c>
      <c r="J298" s="19"/>
      <c r="K298" s="19" t="s">
        <v>37</v>
      </c>
      <c r="L298" s="19"/>
      <c r="M298" s="20"/>
      <c r="N298" s="19"/>
      <c r="O298" s="19"/>
    </row>
    <row r="299" customFormat="false" ht="23.25" hidden="false" customHeight="true" outlineLevel="0" collapsed="false">
      <c r="A299" s="18" t="s">
        <v>1148</v>
      </c>
      <c r="B299" s="18" t="s">
        <v>56</v>
      </c>
      <c r="C299" s="18" t="s">
        <v>49</v>
      </c>
      <c r="D299" s="18" t="s">
        <v>93</v>
      </c>
      <c r="E299" s="18" t="s">
        <v>83</v>
      </c>
      <c r="F299" s="18" t="s">
        <v>94</v>
      </c>
      <c r="G299" s="18" t="s">
        <v>1149</v>
      </c>
      <c r="H299" s="18" t="s">
        <v>1150</v>
      </c>
      <c r="I299" s="18" t="s">
        <v>1151</v>
      </c>
      <c r="J299" s="19"/>
      <c r="K299" s="19" t="s">
        <v>37</v>
      </c>
      <c r="L299" s="19"/>
      <c r="M299" s="20"/>
      <c r="N299" s="19"/>
      <c r="O299" s="19"/>
    </row>
    <row r="300" customFormat="false" ht="23.25" hidden="false" customHeight="true" outlineLevel="0" collapsed="false">
      <c r="A300" s="18" t="s">
        <v>1152</v>
      </c>
      <c r="B300" s="18" t="s">
        <v>57</v>
      </c>
      <c r="C300" s="18" t="s">
        <v>1153</v>
      </c>
      <c r="D300" s="18" t="s">
        <v>110</v>
      </c>
      <c r="E300" s="18" t="s">
        <v>99</v>
      </c>
      <c r="F300" s="18" t="s">
        <v>133</v>
      </c>
      <c r="G300" s="18"/>
      <c r="H300" s="18" t="s">
        <v>1154</v>
      </c>
      <c r="I300" s="18" t="s">
        <v>1155</v>
      </c>
      <c r="J300" s="19"/>
      <c r="K300" s="19" t="s">
        <v>37</v>
      </c>
      <c r="L300" s="19"/>
      <c r="M300" s="20"/>
      <c r="N300" s="19"/>
      <c r="O300" s="19"/>
    </row>
    <row r="301" customFormat="false" ht="23.25" hidden="false" customHeight="true" outlineLevel="0" collapsed="false">
      <c r="A301" s="18" t="s">
        <v>1156</v>
      </c>
      <c r="B301" s="18" t="s">
        <v>57</v>
      </c>
      <c r="C301" s="18" t="s">
        <v>1157</v>
      </c>
      <c r="D301" s="18" t="s">
        <v>110</v>
      </c>
      <c r="E301" s="18" t="s">
        <v>99</v>
      </c>
      <c r="F301" s="18" t="s">
        <v>133</v>
      </c>
      <c r="G301" s="18"/>
      <c r="H301" s="18" t="s">
        <v>1158</v>
      </c>
      <c r="I301" s="18" t="s">
        <v>1159</v>
      </c>
      <c r="J301" s="19"/>
      <c r="K301" s="19" t="s">
        <v>37</v>
      </c>
      <c r="L301" s="19"/>
      <c r="M301" s="20"/>
      <c r="N301" s="19"/>
      <c r="O301" s="19"/>
    </row>
    <row r="302" customFormat="false" ht="15" hidden="false" customHeight="true" outlineLevel="0" collapsed="false">
      <c r="A302" s="18" t="s">
        <v>1160</v>
      </c>
      <c r="B302" s="18" t="s">
        <v>57</v>
      </c>
      <c r="C302" s="18" t="s">
        <v>1161</v>
      </c>
      <c r="D302" s="18" t="s">
        <v>110</v>
      </c>
      <c r="E302" s="18" t="s">
        <v>111</v>
      </c>
      <c r="F302" s="18" t="s">
        <v>133</v>
      </c>
      <c r="G302" s="18"/>
      <c r="H302" s="18" t="s">
        <v>1162</v>
      </c>
      <c r="I302" s="18" t="s">
        <v>1163</v>
      </c>
      <c r="J302" s="19"/>
      <c r="K302" s="19" t="s">
        <v>37</v>
      </c>
      <c r="L302" s="19"/>
      <c r="M302" s="20"/>
      <c r="N302" s="19"/>
      <c r="O302" s="19"/>
    </row>
    <row r="303" customFormat="false" ht="15" hidden="false" customHeight="true" outlineLevel="0" collapsed="false">
      <c r="A303" s="18" t="s">
        <v>1164</v>
      </c>
      <c r="B303" s="18" t="s">
        <v>57</v>
      </c>
      <c r="C303" s="18" t="s">
        <v>1165</v>
      </c>
      <c r="D303" s="18" t="s">
        <v>93</v>
      </c>
      <c r="E303" s="18" t="s">
        <v>111</v>
      </c>
      <c r="F303" s="18" t="s">
        <v>94</v>
      </c>
      <c r="G303" s="18" t="s">
        <v>1166</v>
      </c>
      <c r="H303" s="18" t="s">
        <v>1167</v>
      </c>
      <c r="I303" s="18" t="s">
        <v>1168</v>
      </c>
      <c r="J303" s="19"/>
      <c r="K303" s="19" t="s">
        <v>37</v>
      </c>
      <c r="L303" s="19"/>
      <c r="M303" s="20"/>
      <c r="N303" s="19"/>
      <c r="O303" s="19"/>
    </row>
    <row r="304" customFormat="false" ht="15" hidden="false" customHeight="true" outlineLevel="0" collapsed="false">
      <c r="A304" s="18" t="s">
        <v>1169</v>
      </c>
      <c r="B304" s="18" t="s">
        <v>57</v>
      </c>
      <c r="C304" s="18" t="s">
        <v>1170</v>
      </c>
      <c r="D304" s="18" t="s">
        <v>82</v>
      </c>
      <c r="E304" s="18" t="s">
        <v>111</v>
      </c>
      <c r="F304" s="18" t="s">
        <v>133</v>
      </c>
      <c r="G304" s="18"/>
      <c r="H304" s="18" t="s">
        <v>1171</v>
      </c>
      <c r="I304" s="18" t="s">
        <v>1172</v>
      </c>
      <c r="J304" s="19"/>
      <c r="K304" s="19" t="s">
        <v>37</v>
      </c>
      <c r="L304" s="19"/>
      <c r="M304" s="20"/>
      <c r="N304" s="19"/>
      <c r="O304" s="19"/>
    </row>
    <row r="305" customFormat="false" ht="15" hidden="false" customHeight="true" outlineLevel="0" collapsed="false">
      <c r="A305" s="18" t="s">
        <v>1173</v>
      </c>
      <c r="B305" s="18" t="s">
        <v>57</v>
      </c>
      <c r="C305" s="18" t="s">
        <v>1174</v>
      </c>
      <c r="D305" s="18" t="s">
        <v>82</v>
      </c>
      <c r="E305" s="18" t="s">
        <v>99</v>
      </c>
      <c r="F305" s="18" t="s">
        <v>133</v>
      </c>
      <c r="G305" s="18"/>
      <c r="H305" s="18" t="s">
        <v>1175</v>
      </c>
      <c r="I305" s="18" t="s">
        <v>1176</v>
      </c>
      <c r="J305" s="19"/>
      <c r="K305" s="19" t="s">
        <v>37</v>
      </c>
      <c r="L305" s="19"/>
      <c r="M305" s="20"/>
      <c r="N305" s="19"/>
      <c r="O305" s="19"/>
    </row>
    <row r="306" customFormat="false" ht="15" hidden="false" customHeight="true" outlineLevel="0" collapsed="false">
      <c r="A306" s="18" t="s">
        <v>1177</v>
      </c>
      <c r="B306" s="18" t="s">
        <v>57</v>
      </c>
      <c r="C306" s="18" t="s">
        <v>1178</v>
      </c>
      <c r="D306" s="18" t="s">
        <v>93</v>
      </c>
      <c r="E306" s="18" t="s">
        <v>83</v>
      </c>
      <c r="F306" s="18" t="s">
        <v>133</v>
      </c>
      <c r="G306" s="18" t="s">
        <v>1179</v>
      </c>
      <c r="H306" s="18" t="s">
        <v>1180</v>
      </c>
      <c r="I306" s="18" t="s">
        <v>1181</v>
      </c>
      <c r="J306" s="19"/>
      <c r="K306" s="19" t="s">
        <v>37</v>
      </c>
      <c r="L306" s="19"/>
      <c r="M306" s="20"/>
      <c r="N306" s="19"/>
      <c r="O306" s="19"/>
    </row>
    <row r="307" customFormat="false" ht="15" hidden="false" customHeight="true" outlineLevel="0" collapsed="false">
      <c r="A307" s="18" t="s">
        <v>1182</v>
      </c>
      <c r="B307" s="18" t="s">
        <v>57</v>
      </c>
      <c r="C307" s="18" t="s">
        <v>1183</v>
      </c>
      <c r="D307" s="18" t="s">
        <v>403</v>
      </c>
      <c r="E307" s="18" t="s">
        <v>111</v>
      </c>
      <c r="F307" s="18" t="s">
        <v>133</v>
      </c>
      <c r="G307" s="18"/>
      <c r="H307" s="18" t="s">
        <v>1184</v>
      </c>
      <c r="I307" s="18" t="s">
        <v>1185</v>
      </c>
      <c r="J307" s="19"/>
      <c r="K307" s="19" t="s">
        <v>37</v>
      </c>
      <c r="L307" s="19"/>
      <c r="M307" s="20"/>
      <c r="N307" s="19"/>
      <c r="O307" s="19"/>
    </row>
    <row r="308" customFormat="false" ht="15" hidden="false" customHeight="true" outlineLevel="0" collapsed="false">
      <c r="A308" s="18" t="s">
        <v>1186</v>
      </c>
      <c r="B308" s="18" t="s">
        <v>40</v>
      </c>
      <c r="C308" s="18" t="s">
        <v>1187</v>
      </c>
      <c r="D308" s="18" t="s">
        <v>110</v>
      </c>
      <c r="E308" s="18" t="s">
        <v>99</v>
      </c>
      <c r="F308" s="18" t="s">
        <v>84</v>
      </c>
      <c r="G308" s="18" t="s">
        <v>85</v>
      </c>
      <c r="H308" s="18" t="s">
        <v>1188</v>
      </c>
      <c r="I308" s="18" t="s">
        <v>1189</v>
      </c>
      <c r="J308" s="19"/>
      <c r="K308" s="19" t="s">
        <v>37</v>
      </c>
      <c r="L308" s="19"/>
      <c r="M308" s="20"/>
      <c r="N308" s="19"/>
      <c r="O308" s="19" t="s">
        <v>1190</v>
      </c>
    </row>
    <row r="309" customFormat="false" ht="15" hidden="false" customHeight="true" outlineLevel="0" collapsed="false">
      <c r="A309" s="18" t="s">
        <v>1191</v>
      </c>
      <c r="B309" s="18" t="s">
        <v>40</v>
      </c>
      <c r="C309" s="18" t="s">
        <v>1192</v>
      </c>
      <c r="D309" s="18" t="s">
        <v>110</v>
      </c>
      <c r="E309" s="18" t="s">
        <v>99</v>
      </c>
      <c r="F309" s="18" t="s">
        <v>94</v>
      </c>
      <c r="G309" s="18" t="s">
        <v>116</v>
      </c>
      <c r="H309" s="18" t="s">
        <v>1193</v>
      </c>
      <c r="I309" s="18" t="s">
        <v>1194</v>
      </c>
      <c r="J309" s="19"/>
      <c r="K309" s="19" t="s">
        <v>37</v>
      </c>
      <c r="L309" s="19"/>
      <c r="M309" s="20"/>
      <c r="N309" s="19"/>
      <c r="O309" s="19" t="s">
        <v>1190</v>
      </c>
    </row>
    <row r="310" customFormat="false" ht="15" hidden="false" customHeight="true" outlineLevel="0" collapsed="false">
      <c r="A310" s="18" t="s">
        <v>1195</v>
      </c>
      <c r="B310" s="18" t="s">
        <v>41</v>
      </c>
      <c r="C310" s="18" t="s">
        <v>1196</v>
      </c>
      <c r="D310" s="18" t="s">
        <v>93</v>
      </c>
      <c r="E310" s="18" t="s">
        <v>99</v>
      </c>
      <c r="F310" s="18" t="s">
        <v>94</v>
      </c>
      <c r="G310" s="18" t="s">
        <v>1197</v>
      </c>
      <c r="H310" s="18" t="s">
        <v>1198</v>
      </c>
      <c r="I310" s="18" t="s">
        <v>1199</v>
      </c>
      <c r="J310" s="19"/>
      <c r="K310" s="19" t="s">
        <v>37</v>
      </c>
      <c r="L310" s="19"/>
      <c r="M310" s="20"/>
      <c r="N310" s="19"/>
      <c r="O310" s="19" t="s">
        <v>1190</v>
      </c>
    </row>
    <row r="311" customFormat="false" ht="15" hidden="false" customHeight="true" outlineLevel="0" collapsed="false">
      <c r="A311" s="18" t="s">
        <v>1200</v>
      </c>
      <c r="B311" s="18" t="s">
        <v>41</v>
      </c>
      <c r="C311" s="18" t="s">
        <v>1201</v>
      </c>
      <c r="D311" s="18" t="s">
        <v>110</v>
      </c>
      <c r="E311" s="18" t="s">
        <v>99</v>
      </c>
      <c r="F311" s="18" t="s">
        <v>94</v>
      </c>
      <c r="G311" s="18" t="s">
        <v>84</v>
      </c>
      <c r="H311" s="18" t="s">
        <v>1202</v>
      </c>
      <c r="I311" s="18" t="s">
        <v>1203</v>
      </c>
      <c r="J311" s="19"/>
      <c r="K311" s="19" t="s">
        <v>37</v>
      </c>
      <c r="L311" s="19"/>
      <c r="M311" s="20"/>
      <c r="N311" s="19"/>
      <c r="O311" s="19" t="s">
        <v>1190</v>
      </c>
    </row>
    <row r="312" customFormat="false" ht="15" hidden="false" customHeight="true" outlineLevel="0" collapsed="false">
      <c r="A312" s="18" t="s">
        <v>1204</v>
      </c>
      <c r="B312" s="18" t="s">
        <v>46</v>
      </c>
      <c r="C312" s="18" t="s">
        <v>214</v>
      </c>
      <c r="D312" s="18" t="s">
        <v>110</v>
      </c>
      <c r="E312" s="18" t="s">
        <v>111</v>
      </c>
      <c r="F312" s="18" t="s">
        <v>94</v>
      </c>
      <c r="G312" s="18" t="s">
        <v>84</v>
      </c>
      <c r="H312" s="18" t="s">
        <v>1205</v>
      </c>
      <c r="I312" s="18" t="s">
        <v>1206</v>
      </c>
      <c r="J312" s="19"/>
      <c r="K312" s="19" t="s">
        <v>37</v>
      </c>
      <c r="L312" s="19"/>
      <c r="M312" s="20"/>
      <c r="N312" s="19"/>
      <c r="O312" s="19" t="s">
        <v>1190</v>
      </c>
    </row>
    <row r="313" customFormat="false" ht="15" hidden="false" customHeight="true" outlineLevel="0" collapsed="false">
      <c r="A313" s="18" t="s">
        <v>1207</v>
      </c>
      <c r="B313" s="18" t="s">
        <v>46</v>
      </c>
      <c r="C313" s="18" t="s">
        <v>1208</v>
      </c>
      <c r="D313" s="18" t="s">
        <v>93</v>
      </c>
      <c r="E313" s="18" t="s">
        <v>83</v>
      </c>
      <c r="F313" s="18" t="s">
        <v>94</v>
      </c>
      <c r="G313" s="18" t="s">
        <v>1209</v>
      </c>
      <c r="H313" s="18" t="s">
        <v>1210</v>
      </c>
      <c r="I313" s="18" t="s">
        <v>1211</v>
      </c>
      <c r="J313" s="19"/>
      <c r="K313" s="19" t="s">
        <v>37</v>
      </c>
      <c r="L313" s="19"/>
      <c r="M313" s="20"/>
      <c r="N313" s="19"/>
      <c r="O313" s="19" t="s">
        <v>1190</v>
      </c>
    </row>
    <row r="314" customFormat="false" ht="15" hidden="false" customHeight="true" outlineLevel="0" collapsed="false">
      <c r="A314" s="18" t="s">
        <v>1212</v>
      </c>
      <c r="B314" s="18" t="s">
        <v>46</v>
      </c>
      <c r="C314" s="18" t="s">
        <v>1213</v>
      </c>
      <c r="D314" s="18" t="s">
        <v>93</v>
      </c>
      <c r="E314" s="18" t="s">
        <v>83</v>
      </c>
      <c r="F314" s="18" t="s">
        <v>94</v>
      </c>
      <c r="G314" s="18" t="s">
        <v>1214</v>
      </c>
      <c r="H314" s="18" t="s">
        <v>1215</v>
      </c>
      <c r="I314" s="18" t="s">
        <v>1216</v>
      </c>
      <c r="J314" s="19"/>
      <c r="K314" s="19" t="s">
        <v>37</v>
      </c>
      <c r="L314" s="19"/>
      <c r="M314" s="20"/>
      <c r="N314" s="19"/>
      <c r="O314" s="19" t="s">
        <v>1190</v>
      </c>
    </row>
    <row r="315" customFormat="false" ht="15" hidden="false" customHeight="true" outlineLevel="0" collapsed="false">
      <c r="A315" s="18" t="s">
        <v>1217</v>
      </c>
      <c r="B315" s="18" t="s">
        <v>46</v>
      </c>
      <c r="C315" s="18" t="s">
        <v>1218</v>
      </c>
      <c r="D315" s="18" t="s">
        <v>106</v>
      </c>
      <c r="E315" s="18" t="s">
        <v>99</v>
      </c>
      <c r="F315" s="18" t="s">
        <v>94</v>
      </c>
      <c r="G315" s="18" t="s">
        <v>84</v>
      </c>
      <c r="H315" s="18" t="s">
        <v>1219</v>
      </c>
      <c r="I315" s="18" t="s">
        <v>1220</v>
      </c>
      <c r="J315" s="19"/>
      <c r="K315" s="19" t="s">
        <v>37</v>
      </c>
      <c r="L315" s="19"/>
      <c r="M315" s="20"/>
      <c r="N315" s="19"/>
      <c r="O315" s="19" t="s">
        <v>1190</v>
      </c>
    </row>
    <row r="316" customFormat="false" ht="15" hidden="false" customHeight="true" outlineLevel="0" collapsed="false">
      <c r="A316" s="18" t="s">
        <v>1221</v>
      </c>
      <c r="B316" s="18" t="s">
        <v>46</v>
      </c>
      <c r="C316" s="18" t="s">
        <v>1222</v>
      </c>
      <c r="D316" s="18" t="s">
        <v>110</v>
      </c>
      <c r="E316" s="18" t="s">
        <v>111</v>
      </c>
      <c r="F316" s="18" t="s">
        <v>94</v>
      </c>
      <c r="G316" s="18" t="s">
        <v>84</v>
      </c>
      <c r="H316" s="18" t="s">
        <v>1223</v>
      </c>
      <c r="I316" s="18" t="s">
        <v>1224</v>
      </c>
      <c r="J316" s="19"/>
      <c r="K316" s="19" t="s">
        <v>37</v>
      </c>
      <c r="L316" s="19"/>
      <c r="M316" s="20"/>
      <c r="N316" s="19"/>
      <c r="O316" s="19" t="s">
        <v>1190</v>
      </c>
    </row>
    <row r="317" customFormat="false" ht="15" hidden="false" customHeight="true" outlineLevel="0" collapsed="false">
      <c r="A317" s="18" t="s">
        <v>1225</v>
      </c>
      <c r="B317" s="18" t="s">
        <v>47</v>
      </c>
      <c r="C317" s="18" t="s">
        <v>1226</v>
      </c>
      <c r="D317" s="18" t="s">
        <v>93</v>
      </c>
      <c r="E317" s="18" t="s">
        <v>99</v>
      </c>
      <c r="F317" s="18" t="s">
        <v>94</v>
      </c>
      <c r="G317" s="18" t="s">
        <v>1227</v>
      </c>
      <c r="H317" s="18" t="s">
        <v>1228</v>
      </c>
      <c r="I317" s="18" t="s">
        <v>1229</v>
      </c>
      <c r="J317" s="19"/>
      <c r="K317" s="19" t="s">
        <v>37</v>
      </c>
      <c r="L317" s="19"/>
      <c r="M317" s="20"/>
      <c r="N317" s="19"/>
      <c r="O317" s="19" t="s">
        <v>1190</v>
      </c>
    </row>
    <row r="318" customFormat="false" ht="15" hidden="false" customHeight="true" outlineLevel="0" collapsed="false">
      <c r="A318" s="18" t="s">
        <v>1230</v>
      </c>
      <c r="B318" s="18" t="s">
        <v>47</v>
      </c>
      <c r="C318" s="18" t="s">
        <v>1231</v>
      </c>
      <c r="D318" s="18" t="s">
        <v>110</v>
      </c>
      <c r="E318" s="18" t="s">
        <v>111</v>
      </c>
      <c r="F318" s="18" t="s">
        <v>94</v>
      </c>
      <c r="G318" s="18" t="s">
        <v>84</v>
      </c>
      <c r="H318" s="18" t="s">
        <v>1232</v>
      </c>
      <c r="I318" s="18" t="s">
        <v>1233</v>
      </c>
      <c r="J318" s="19"/>
      <c r="K318" s="19" t="s">
        <v>37</v>
      </c>
      <c r="L318" s="19"/>
      <c r="M318" s="20"/>
      <c r="N318" s="19"/>
      <c r="O318" s="19" t="s">
        <v>1190</v>
      </c>
    </row>
    <row r="319" customFormat="false" ht="15" hidden="false" customHeight="true" outlineLevel="0" collapsed="false">
      <c r="A319" s="18" t="s">
        <v>1234</v>
      </c>
      <c r="B319" s="18" t="s">
        <v>47</v>
      </c>
      <c r="C319" s="18" t="s">
        <v>686</v>
      </c>
      <c r="D319" s="18" t="s">
        <v>93</v>
      </c>
      <c r="E319" s="18" t="s">
        <v>83</v>
      </c>
      <c r="F319" s="18" t="s">
        <v>94</v>
      </c>
      <c r="G319" s="18" t="s">
        <v>1235</v>
      </c>
      <c r="H319" s="18" t="s">
        <v>1236</v>
      </c>
      <c r="I319" s="18" t="s">
        <v>1237</v>
      </c>
      <c r="J319" s="19"/>
      <c r="K319" s="19" t="s">
        <v>37</v>
      </c>
      <c r="L319" s="19"/>
      <c r="M319" s="20"/>
      <c r="N319" s="19"/>
      <c r="O319" s="19" t="s">
        <v>1190</v>
      </c>
    </row>
    <row r="320" customFormat="false" ht="15" hidden="false" customHeight="true" outlineLevel="0" collapsed="false">
      <c r="A320" s="18" t="s">
        <v>1238</v>
      </c>
      <c r="B320" s="18" t="s">
        <v>47</v>
      </c>
      <c r="C320" s="18" t="s">
        <v>1239</v>
      </c>
      <c r="D320" s="18" t="s">
        <v>132</v>
      </c>
      <c r="E320" s="18" t="s">
        <v>99</v>
      </c>
      <c r="F320" s="18" t="s">
        <v>168</v>
      </c>
      <c r="G320" s="18" t="s">
        <v>84</v>
      </c>
      <c r="H320" s="18" t="s">
        <v>1240</v>
      </c>
      <c r="I320" s="18" t="s">
        <v>1241</v>
      </c>
      <c r="J320" s="19"/>
      <c r="K320" s="19" t="s">
        <v>37</v>
      </c>
      <c r="L320" s="19"/>
      <c r="M320" s="20"/>
      <c r="N320" s="19"/>
      <c r="O320" s="19" t="s">
        <v>1190</v>
      </c>
    </row>
    <row r="321" customFormat="false" ht="15" hidden="false" customHeight="true" outlineLevel="0" collapsed="false">
      <c r="A321" s="18" t="s">
        <v>1242</v>
      </c>
      <c r="B321" s="18" t="s">
        <v>47</v>
      </c>
      <c r="C321" s="18" t="s">
        <v>1243</v>
      </c>
      <c r="D321" s="18" t="s">
        <v>82</v>
      </c>
      <c r="E321" s="18" t="s">
        <v>111</v>
      </c>
      <c r="F321" s="18" t="s">
        <v>94</v>
      </c>
      <c r="G321" s="18" t="s">
        <v>1244</v>
      </c>
      <c r="H321" s="18" t="s">
        <v>1245</v>
      </c>
      <c r="I321" s="18" t="s">
        <v>1246</v>
      </c>
      <c r="J321" s="19"/>
      <c r="K321" s="19" t="s">
        <v>37</v>
      </c>
      <c r="L321" s="19"/>
      <c r="M321" s="20"/>
      <c r="N321" s="19"/>
      <c r="O321" s="19" t="s">
        <v>1190</v>
      </c>
    </row>
    <row r="322" customFormat="false" ht="15" hidden="false" customHeight="true" outlineLevel="0" collapsed="false">
      <c r="A322" s="18" t="s">
        <v>1247</v>
      </c>
      <c r="B322" s="18" t="s">
        <v>45</v>
      </c>
      <c r="C322" s="18" t="s">
        <v>1248</v>
      </c>
      <c r="D322" s="18" t="s">
        <v>82</v>
      </c>
      <c r="E322" s="18" t="s">
        <v>83</v>
      </c>
      <c r="F322" s="18" t="s">
        <v>94</v>
      </c>
      <c r="G322" s="18" t="s">
        <v>1249</v>
      </c>
      <c r="H322" s="18" t="s">
        <v>400</v>
      </c>
      <c r="I322" s="18" t="s">
        <v>1250</v>
      </c>
      <c r="J322" s="19"/>
      <c r="K322" s="19" t="s">
        <v>37</v>
      </c>
      <c r="L322" s="19"/>
      <c r="M322" s="20"/>
      <c r="N322" s="19"/>
      <c r="O322" s="19" t="s">
        <v>1190</v>
      </c>
    </row>
    <row r="323" customFormat="false" ht="15" hidden="false" customHeight="true" outlineLevel="0" collapsed="false">
      <c r="A323" s="18" t="s">
        <v>1251</v>
      </c>
      <c r="B323" s="18" t="s">
        <v>45</v>
      </c>
      <c r="C323" s="18" t="s">
        <v>1252</v>
      </c>
      <c r="D323" s="18" t="s">
        <v>93</v>
      </c>
      <c r="E323" s="18" t="s">
        <v>83</v>
      </c>
      <c r="F323" s="18" t="s">
        <v>94</v>
      </c>
      <c r="G323" s="18" t="s">
        <v>1253</v>
      </c>
      <c r="H323" s="18" t="s">
        <v>1254</v>
      </c>
      <c r="I323" s="18" t="s">
        <v>1255</v>
      </c>
      <c r="J323" s="19"/>
      <c r="K323" s="19" t="s">
        <v>37</v>
      </c>
      <c r="L323" s="19"/>
      <c r="M323" s="20"/>
      <c r="N323" s="19"/>
      <c r="O323" s="19" t="s">
        <v>1190</v>
      </c>
    </row>
    <row r="324" customFormat="false" ht="15" hidden="false" customHeight="true" outlineLevel="0" collapsed="false">
      <c r="A324" s="18" t="s">
        <v>1256</v>
      </c>
      <c r="B324" s="18" t="s">
        <v>45</v>
      </c>
      <c r="C324" s="18" t="s">
        <v>1257</v>
      </c>
      <c r="D324" s="18" t="s">
        <v>110</v>
      </c>
      <c r="E324" s="18" t="s">
        <v>99</v>
      </c>
      <c r="F324" s="18" t="s">
        <v>94</v>
      </c>
      <c r="G324" s="18" t="s">
        <v>84</v>
      </c>
      <c r="H324" s="18" t="s">
        <v>1258</v>
      </c>
      <c r="I324" s="18" t="s">
        <v>1259</v>
      </c>
      <c r="J324" s="19"/>
      <c r="K324" s="19" t="s">
        <v>37</v>
      </c>
      <c r="L324" s="19"/>
      <c r="M324" s="20"/>
      <c r="N324" s="19"/>
      <c r="O324" s="19" t="s">
        <v>1190</v>
      </c>
    </row>
    <row r="325" customFormat="false" ht="15" hidden="false" customHeight="true" outlineLevel="0" collapsed="false">
      <c r="A325" s="18" t="s">
        <v>1260</v>
      </c>
      <c r="B325" s="18" t="s">
        <v>48</v>
      </c>
      <c r="C325" s="18" t="s">
        <v>1261</v>
      </c>
      <c r="D325" s="18" t="s">
        <v>93</v>
      </c>
      <c r="E325" s="18" t="s">
        <v>83</v>
      </c>
      <c r="F325" s="18" t="s">
        <v>412</v>
      </c>
      <c r="G325" s="18" t="s">
        <v>1262</v>
      </c>
      <c r="H325" s="18" t="s">
        <v>1263</v>
      </c>
      <c r="I325" s="18" t="s">
        <v>1264</v>
      </c>
      <c r="J325" s="19"/>
      <c r="K325" s="19" t="s">
        <v>37</v>
      </c>
      <c r="L325" s="19"/>
      <c r="M325" s="20"/>
      <c r="N325" s="19"/>
      <c r="O325" s="19" t="s">
        <v>1190</v>
      </c>
    </row>
    <row r="326" customFormat="false" ht="15" hidden="false" customHeight="true" outlineLevel="0" collapsed="false">
      <c r="A326" s="18" t="s">
        <v>1265</v>
      </c>
      <c r="B326" s="18" t="s">
        <v>46</v>
      </c>
      <c r="C326" s="18" t="s">
        <v>1266</v>
      </c>
      <c r="D326" s="18" t="s">
        <v>106</v>
      </c>
      <c r="E326" s="18" t="s">
        <v>83</v>
      </c>
      <c r="F326" s="18" t="s">
        <v>94</v>
      </c>
      <c r="G326" s="18" t="s">
        <v>464</v>
      </c>
      <c r="H326" s="18" t="s">
        <v>1267</v>
      </c>
      <c r="I326" s="18" t="s">
        <v>1268</v>
      </c>
      <c r="J326" s="19"/>
      <c r="K326" s="19" t="s">
        <v>37</v>
      </c>
      <c r="L326" s="19"/>
      <c r="M326" s="20"/>
      <c r="N326" s="19"/>
      <c r="O326" s="19" t="s">
        <v>1269</v>
      </c>
    </row>
    <row r="327" customFormat="false" ht="15" hidden="false" customHeight="true" outlineLevel="0" collapsed="false">
      <c r="A327" s="18" t="s">
        <v>1270</v>
      </c>
      <c r="B327" s="18" t="s">
        <v>46</v>
      </c>
      <c r="C327" s="18" t="s">
        <v>1271</v>
      </c>
      <c r="D327" s="18" t="s">
        <v>93</v>
      </c>
      <c r="E327" s="18" t="s">
        <v>83</v>
      </c>
      <c r="F327" s="18" t="s">
        <v>94</v>
      </c>
      <c r="G327" s="18" t="s">
        <v>1272</v>
      </c>
      <c r="H327" s="18" t="s">
        <v>1273</v>
      </c>
      <c r="I327" s="18" t="s">
        <v>1274</v>
      </c>
      <c r="J327" s="19"/>
      <c r="K327" s="19" t="s">
        <v>37</v>
      </c>
      <c r="L327" s="19"/>
      <c r="M327" s="20"/>
      <c r="N327" s="19"/>
      <c r="O327" s="19" t="s">
        <v>1269</v>
      </c>
    </row>
    <row r="328" customFormat="false" ht="15" hidden="false" customHeight="true" outlineLevel="0" collapsed="false">
      <c r="A328" s="18" t="s">
        <v>1275</v>
      </c>
      <c r="B328" s="18" t="s">
        <v>46</v>
      </c>
      <c r="C328" s="18" t="s">
        <v>1276</v>
      </c>
      <c r="D328" s="18" t="s">
        <v>93</v>
      </c>
      <c r="E328" s="18" t="s">
        <v>99</v>
      </c>
      <c r="F328" s="18" t="s">
        <v>94</v>
      </c>
      <c r="G328" s="18" t="s">
        <v>1277</v>
      </c>
      <c r="H328" s="18" t="s">
        <v>1278</v>
      </c>
      <c r="I328" s="18" t="s">
        <v>1279</v>
      </c>
      <c r="J328" s="19"/>
      <c r="K328" s="19" t="s">
        <v>37</v>
      </c>
      <c r="L328" s="19"/>
      <c r="M328" s="20"/>
      <c r="N328" s="19"/>
      <c r="O328" s="19" t="s">
        <v>1269</v>
      </c>
    </row>
    <row r="329" customFormat="false" ht="15" hidden="false" customHeight="true" outlineLevel="0" collapsed="false">
      <c r="A329" s="18" t="s">
        <v>1280</v>
      </c>
      <c r="B329" s="18" t="s">
        <v>46</v>
      </c>
      <c r="C329" s="18" t="s">
        <v>1281</v>
      </c>
      <c r="D329" s="18" t="s">
        <v>110</v>
      </c>
      <c r="E329" s="18" t="s">
        <v>99</v>
      </c>
      <c r="F329" s="18" t="s">
        <v>94</v>
      </c>
      <c r="G329" s="18" t="s">
        <v>84</v>
      </c>
      <c r="H329" s="18" t="s">
        <v>1282</v>
      </c>
      <c r="I329" s="18" t="s">
        <v>1283</v>
      </c>
      <c r="J329" s="19"/>
      <c r="K329" s="19" t="s">
        <v>37</v>
      </c>
      <c r="L329" s="19"/>
      <c r="M329" s="20"/>
      <c r="N329" s="19"/>
      <c r="O329" s="19" t="s">
        <v>1269</v>
      </c>
    </row>
    <row r="330" customFormat="false" ht="15" hidden="false" customHeight="true" outlineLevel="0" collapsed="false">
      <c r="A330" s="18" t="s">
        <v>1284</v>
      </c>
      <c r="B330" s="18" t="s">
        <v>47</v>
      </c>
      <c r="C330" s="18" t="s">
        <v>1285</v>
      </c>
      <c r="D330" s="18" t="s">
        <v>110</v>
      </c>
      <c r="E330" s="18" t="s">
        <v>111</v>
      </c>
      <c r="F330" s="18" t="s">
        <v>94</v>
      </c>
      <c r="G330" s="18" t="s">
        <v>84</v>
      </c>
      <c r="H330" s="18" t="s">
        <v>1286</v>
      </c>
      <c r="I330" s="18" t="s">
        <v>1287</v>
      </c>
      <c r="J330" s="19"/>
      <c r="K330" s="19" t="s">
        <v>37</v>
      </c>
      <c r="L330" s="19"/>
      <c r="M330" s="20"/>
      <c r="N330" s="19"/>
      <c r="O330" s="19" t="s">
        <v>1269</v>
      </c>
    </row>
    <row r="331" customFormat="false" ht="15" hidden="false" customHeight="true" outlineLevel="0" collapsed="false">
      <c r="A331" s="18" t="s">
        <v>1288</v>
      </c>
      <c r="B331" s="18" t="s">
        <v>47</v>
      </c>
      <c r="C331" s="18" t="s">
        <v>1289</v>
      </c>
      <c r="D331" s="18" t="s">
        <v>93</v>
      </c>
      <c r="E331" s="18" t="s">
        <v>83</v>
      </c>
      <c r="F331" s="18" t="s">
        <v>94</v>
      </c>
      <c r="G331" s="18" t="s">
        <v>815</v>
      </c>
      <c r="H331" s="18" t="s">
        <v>1290</v>
      </c>
      <c r="I331" s="18" t="s">
        <v>1291</v>
      </c>
      <c r="J331" s="19"/>
      <c r="K331" s="19" t="s">
        <v>37</v>
      </c>
      <c r="L331" s="19"/>
      <c r="M331" s="20"/>
      <c r="N331" s="19"/>
      <c r="O331" s="19" t="s">
        <v>1269</v>
      </c>
    </row>
    <row r="332" customFormat="false" ht="15" hidden="false" customHeight="true" outlineLevel="0" collapsed="false">
      <c r="A332" s="18" t="s">
        <v>1292</v>
      </c>
      <c r="B332" s="18" t="s">
        <v>47</v>
      </c>
      <c r="C332" s="18" t="s">
        <v>1293</v>
      </c>
      <c r="D332" s="18" t="s">
        <v>106</v>
      </c>
      <c r="E332" s="18" t="s">
        <v>99</v>
      </c>
      <c r="F332" s="18" t="s">
        <v>94</v>
      </c>
      <c r="G332" s="18" t="s">
        <v>815</v>
      </c>
      <c r="H332" s="18" t="s">
        <v>1294</v>
      </c>
      <c r="I332" s="18" t="s">
        <v>1295</v>
      </c>
      <c r="J332" s="19"/>
      <c r="K332" s="19" t="s">
        <v>37</v>
      </c>
      <c r="L332" s="19"/>
      <c r="M332" s="20"/>
      <c r="N332" s="19"/>
      <c r="O332" s="19" t="s">
        <v>1269</v>
      </c>
    </row>
    <row r="333" customFormat="false" ht="15" hidden="false" customHeight="true" outlineLevel="0" collapsed="false">
      <c r="A333" s="18" t="s">
        <v>1296</v>
      </c>
      <c r="B333" s="18" t="s">
        <v>47</v>
      </c>
      <c r="C333" s="18" t="s">
        <v>1297</v>
      </c>
      <c r="D333" s="18" t="s">
        <v>93</v>
      </c>
      <c r="E333" s="18" t="s">
        <v>99</v>
      </c>
      <c r="F333" s="18" t="s">
        <v>94</v>
      </c>
      <c r="G333" s="18" t="s">
        <v>1298</v>
      </c>
      <c r="H333" s="18" t="s">
        <v>1299</v>
      </c>
      <c r="I333" s="18" t="s">
        <v>1300</v>
      </c>
      <c r="J333" s="19"/>
      <c r="K333" s="19" t="s">
        <v>37</v>
      </c>
      <c r="L333" s="19"/>
      <c r="M333" s="20"/>
      <c r="N333" s="19"/>
      <c r="O333" s="19" t="s">
        <v>1269</v>
      </c>
    </row>
    <row r="334" customFormat="false" ht="15" hidden="false" customHeight="true" outlineLevel="0" collapsed="false">
      <c r="A334" s="18" t="s">
        <v>1301</v>
      </c>
      <c r="B334" s="18" t="s">
        <v>50</v>
      </c>
      <c r="C334" s="18" t="s">
        <v>1302</v>
      </c>
      <c r="D334" s="18" t="s">
        <v>93</v>
      </c>
      <c r="E334" s="18" t="s">
        <v>99</v>
      </c>
      <c r="F334" s="18" t="s">
        <v>94</v>
      </c>
      <c r="G334" s="18" t="s">
        <v>84</v>
      </c>
      <c r="H334" s="18" t="s">
        <v>1303</v>
      </c>
      <c r="I334" s="18" t="s">
        <v>1304</v>
      </c>
      <c r="J334" s="19"/>
      <c r="K334" s="19" t="s">
        <v>37</v>
      </c>
      <c r="L334" s="19"/>
      <c r="M334" s="20"/>
      <c r="N334" s="19"/>
      <c r="O334" s="19" t="s">
        <v>1269</v>
      </c>
    </row>
    <row r="335" customFormat="false" ht="15" hidden="false" customHeight="true" outlineLevel="0" collapsed="false">
      <c r="A335" s="18" t="s">
        <v>1305</v>
      </c>
      <c r="B335" s="18" t="s">
        <v>40</v>
      </c>
      <c r="C335" s="18" t="s">
        <v>1306</v>
      </c>
      <c r="D335" s="18" t="s">
        <v>110</v>
      </c>
      <c r="E335" s="18" t="s">
        <v>111</v>
      </c>
      <c r="F335" s="18" t="s">
        <v>94</v>
      </c>
      <c r="G335" s="18" t="s">
        <v>1307</v>
      </c>
      <c r="H335" s="18" t="s">
        <v>1308</v>
      </c>
      <c r="I335" s="18" t="s">
        <v>1309</v>
      </c>
      <c r="J335" s="19"/>
      <c r="K335" s="19" t="s">
        <v>37</v>
      </c>
      <c r="L335" s="19"/>
      <c r="M335" s="20"/>
      <c r="N335" s="19"/>
      <c r="O335" s="19" t="s">
        <v>1269</v>
      </c>
    </row>
    <row r="336" customFormat="false" ht="15" hidden="false" customHeight="true" outlineLevel="0" collapsed="false">
      <c r="A336" s="18" t="s">
        <v>1310</v>
      </c>
      <c r="B336" s="18" t="s">
        <v>42</v>
      </c>
      <c r="C336" s="18" t="s">
        <v>1311</v>
      </c>
      <c r="D336" s="18" t="s">
        <v>93</v>
      </c>
      <c r="E336" s="18" t="s">
        <v>99</v>
      </c>
      <c r="F336" s="18" t="s">
        <v>94</v>
      </c>
      <c r="G336" s="18" t="s">
        <v>1312</v>
      </c>
      <c r="H336" s="18" t="s">
        <v>1313</v>
      </c>
      <c r="I336" s="18" t="s">
        <v>1314</v>
      </c>
      <c r="J336" s="19"/>
      <c r="K336" s="19" t="s">
        <v>37</v>
      </c>
      <c r="L336" s="19"/>
      <c r="M336" s="20"/>
      <c r="N336" s="19"/>
      <c r="O336" s="19" t="s">
        <v>1269</v>
      </c>
    </row>
  </sheetData>
  <autoFilter ref="A1:O336"/>
  <conditionalFormatting sqref="K2:K336">
    <cfRule type="cellIs" priority="2" operator="equal" aboveAverage="0" equalAverage="0" bottom="0" percent="0" rank="0" text="" dxfId="6">
      <formula>"Pass"</formula>
    </cfRule>
    <cfRule type="cellIs" priority="3" operator="equal" aboveAverage="0" equalAverage="0" bottom="0" percent="0" rank="0" text="" dxfId="7">
      <formula>"Fail"</formula>
    </cfRule>
    <cfRule type="cellIs" priority="4" operator="equal" aboveAverage="0" equalAverage="0" bottom="0" percent="0" rank="0" text="" dxfId="8">
      <formula>"Blocked"</formula>
    </cfRule>
    <cfRule type="cellIs" priority="5" operator="equal" aboveAverage="0" equalAverage="0" bottom="0" percent="0" rank="0" text="" dxfId="9">
      <formula>"Not Run"</formula>
    </cfRule>
  </conditionalFormatting>
  <conditionalFormatting sqref="A2:E336">
    <cfRule type="expression" priority="6" aboveAverage="0" equalAverage="0" bottom="0" percent="0" rank="0" text="" dxfId="10">
      <formula>$E2="High"</formula>
    </cfRule>
  </conditionalFormatting>
  <dataValidations count="2">
    <dataValidation allowBlank="false" errorStyle="stop" operator="between" showDropDown="false" showErrorMessage="false" showInputMessage="false" sqref="K2:K336" type="list">
      <formula1>"Not Run,Pass,Fail,Blocked,N/A"</formula1>
      <formula2>0</formula2>
    </dataValidation>
    <dataValidation allowBlank="true" error="Enter a date" errorStyle="stop" operator="greaterThan" showDropDown="false" showErrorMessage="false" showInputMessage="false" sqref="M2:M336"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22"/>
    <col collapsed="false" customWidth="true" hidden="false" outlineLevel="0" max="4" min="4" style="1" width="70"/>
  </cols>
  <sheetData>
    <row r="1" customFormat="false" ht="17.25" hidden="false" customHeight="true" outlineLevel="0" collapsed="false">
      <c r="A1" s="9" t="s">
        <v>1315</v>
      </c>
    </row>
    <row r="2" customFormat="false" ht="15" hidden="false" customHeight="true" outlineLevel="0" collapsed="false">
      <c r="A2" s="10" t="s">
        <v>1316</v>
      </c>
    </row>
    <row r="4" customFormat="false" ht="15" hidden="false" customHeight="true" outlineLevel="0" collapsed="false">
      <c r="A4" s="21" t="s">
        <v>1317</v>
      </c>
      <c r="B4" s="21" t="s">
        <v>1318</v>
      </c>
      <c r="C4" s="21" t="s">
        <v>1319</v>
      </c>
      <c r="D4" s="21" t="s">
        <v>1320</v>
      </c>
    </row>
    <row r="5" customFormat="false" ht="15" hidden="false" customHeight="true" outlineLevel="0" collapsed="false">
      <c r="A5" s="18" t="s">
        <v>1321</v>
      </c>
      <c r="B5" s="18" t="s">
        <v>94</v>
      </c>
      <c r="C5" s="18" t="s">
        <v>1322</v>
      </c>
      <c r="D5" s="18" t="s">
        <v>1323</v>
      </c>
    </row>
    <row r="6" customFormat="false" ht="23.25" hidden="false" customHeight="true" outlineLevel="0" collapsed="false">
      <c r="A6" s="18" t="s">
        <v>1324</v>
      </c>
      <c r="B6" s="18" t="s">
        <v>94</v>
      </c>
      <c r="C6" s="18" t="s">
        <v>1325</v>
      </c>
      <c r="D6" s="18" t="s">
        <v>1326</v>
      </c>
    </row>
    <row r="7" customFormat="false" ht="15" hidden="false" customHeight="true" outlineLevel="0" collapsed="false">
      <c r="A7" s="18" t="s">
        <v>1327</v>
      </c>
      <c r="B7" s="18" t="s">
        <v>168</v>
      </c>
      <c r="C7" s="18" t="s">
        <v>1328</v>
      </c>
      <c r="D7" s="18" t="s">
        <v>1329</v>
      </c>
    </row>
    <row r="8" customFormat="false" ht="15" hidden="false" customHeight="true" outlineLevel="0" collapsed="false">
      <c r="A8" s="18" t="s">
        <v>1330</v>
      </c>
      <c r="B8" s="18" t="s">
        <v>1085</v>
      </c>
      <c r="C8" s="18" t="s">
        <v>1331</v>
      </c>
      <c r="D8" s="18" t="s">
        <v>1332</v>
      </c>
    </row>
    <row r="9" customFormat="false" ht="23.25" hidden="false" customHeight="true" outlineLevel="0" collapsed="false">
      <c r="A9" s="18" t="s">
        <v>1333</v>
      </c>
      <c r="B9" s="18" t="s">
        <v>412</v>
      </c>
      <c r="C9" s="18" t="s">
        <v>1334</v>
      </c>
      <c r="D9" s="18" t="s">
        <v>1335</v>
      </c>
    </row>
    <row r="10" customFormat="false" ht="34.5" hidden="false" customHeight="true" outlineLevel="0" collapsed="false">
      <c r="A10" s="18" t="s">
        <v>1336</v>
      </c>
      <c r="B10" s="18" t="s">
        <v>1337</v>
      </c>
      <c r="C10" s="18" t="s">
        <v>1338</v>
      </c>
      <c r="D10" s="18" t="s">
        <v>1339</v>
      </c>
    </row>
    <row r="12" customFormat="false" ht="15" hidden="false" customHeight="true" outlineLevel="0" collapsed="false">
      <c r="A12" s="6" t="s">
        <v>1340</v>
      </c>
    </row>
    <row r="13" customFormat="false" ht="15" hidden="false" customHeight="true" outlineLevel="0" collapsed="false">
      <c r="A13" s="21" t="s">
        <v>1341</v>
      </c>
      <c r="B13" s="21" t="s">
        <v>1342</v>
      </c>
      <c r="C13" s="21" t="s">
        <v>1343</v>
      </c>
      <c r="D13" s="21" t="s">
        <v>1320</v>
      </c>
    </row>
    <row r="14" customFormat="false" ht="34.5" hidden="false" customHeight="true" outlineLevel="0" collapsed="false">
      <c r="A14" s="18" t="s">
        <v>1344</v>
      </c>
      <c r="B14" s="18" t="s">
        <v>269</v>
      </c>
      <c r="C14" s="18" t="s">
        <v>1345</v>
      </c>
      <c r="D14" s="18" t="s">
        <v>1346</v>
      </c>
    </row>
    <row r="15" customFormat="false" ht="23.25" hidden="false" customHeight="true" outlineLevel="0" collapsed="false">
      <c r="A15" s="18" t="s">
        <v>1347</v>
      </c>
      <c r="B15" s="18" t="s">
        <v>1348</v>
      </c>
      <c r="C15" s="18" t="s">
        <v>1349</v>
      </c>
      <c r="D15" s="18"/>
    </row>
    <row r="16" customFormat="false" ht="15" hidden="false" customHeight="true" outlineLevel="0" collapsed="false">
      <c r="A16" s="18" t="s">
        <v>1350</v>
      </c>
      <c r="B16" s="18" t="s">
        <v>1351</v>
      </c>
      <c r="C16" s="18" t="s">
        <v>1352</v>
      </c>
      <c r="D16" s="18" t="s">
        <v>1353</v>
      </c>
    </row>
    <row r="17" customFormat="false" ht="15" hidden="false" customHeight="true" outlineLevel="0" collapsed="false">
      <c r="A17" s="18" t="s">
        <v>1350</v>
      </c>
      <c r="B17" s="18" t="s">
        <v>1354</v>
      </c>
      <c r="C17" s="18" t="s">
        <v>1355</v>
      </c>
      <c r="D17" s="18"/>
    </row>
    <row r="18" customFormat="false" ht="23.25" hidden="false" customHeight="true" outlineLevel="0" collapsed="false">
      <c r="A18" s="18" t="s">
        <v>1356</v>
      </c>
      <c r="B18" s="18" t="s">
        <v>1357</v>
      </c>
      <c r="C18" s="18" t="s">
        <v>1358</v>
      </c>
      <c r="D18" s="18" t="s">
        <v>1359</v>
      </c>
    </row>
    <row r="19" customFormat="false" ht="23.25" hidden="false" customHeight="true" outlineLevel="0" collapsed="false">
      <c r="A19" s="18" t="s">
        <v>49</v>
      </c>
      <c r="B19" s="18" t="s">
        <v>1360</v>
      </c>
      <c r="C19" s="18" t="s">
        <v>1361</v>
      </c>
      <c r="D19" s="18" t="s">
        <v>1362</v>
      </c>
    </row>
    <row r="20" customFormat="false" ht="15" hidden="false" customHeight="true" outlineLevel="0" collapsed="false">
      <c r="A20" s="18" t="s">
        <v>1363</v>
      </c>
      <c r="B20" s="18" t="s">
        <v>1364</v>
      </c>
      <c r="C20" s="18" t="s">
        <v>1365</v>
      </c>
      <c r="D20" s="18" t="s">
        <v>1366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12"/>
    <col collapsed="false" customWidth="true" hidden="false" outlineLevel="0" max="3" min="3" style="1" width="18"/>
    <col collapsed="false" customWidth="true" hidden="false" outlineLevel="0" max="4" min="4" style="1" width="11"/>
    <col collapsed="false" customWidth="true" hidden="false" outlineLevel="0" max="5" min="5" style="1" width="40"/>
    <col collapsed="false" customWidth="true" hidden="false" outlineLevel="0" max="7" min="6" style="1" width="50"/>
    <col collapsed="false" customWidth="true" hidden="false" outlineLevel="0" max="8" min="8" style="1" width="11"/>
    <col collapsed="false" customWidth="true" hidden="false" outlineLevel="0" max="9" min="9" style="1" width="13"/>
    <col collapsed="false" customWidth="true" hidden="false" outlineLevel="0" max="10" min="10" style="1" width="14"/>
    <col collapsed="false" customWidth="true" hidden="false" outlineLevel="0" max="11" min="11" style="1" width="22"/>
    <col collapsed="false" customWidth="true" hidden="false" outlineLevel="0" max="12" min="12" style="1" width="36"/>
  </cols>
  <sheetData>
    <row r="1" customFormat="false" ht="17.25" hidden="false" customHeight="true" outlineLevel="0" collapsed="false">
      <c r="A1" s="9" t="s">
        <v>1367</v>
      </c>
    </row>
    <row r="2" customFormat="false" ht="15" hidden="false" customHeight="true" outlineLevel="0" collapsed="false">
      <c r="A2" s="10" t="s">
        <v>1368</v>
      </c>
      <c r="L2" s="10" t="s">
        <v>1369</v>
      </c>
    </row>
    <row r="4" customFormat="false" ht="15" hidden="false" customHeight="true" outlineLevel="0" collapsed="false">
      <c r="A4" s="11" t="s">
        <v>78</v>
      </c>
      <c r="B4" s="11" t="s">
        <v>1370</v>
      </c>
      <c r="C4" s="11" t="s">
        <v>31</v>
      </c>
      <c r="D4" s="11" t="s">
        <v>66</v>
      </c>
      <c r="E4" s="11" t="s">
        <v>1371</v>
      </c>
      <c r="F4" s="11" t="s">
        <v>1372</v>
      </c>
      <c r="G4" s="11" t="s">
        <v>1373</v>
      </c>
      <c r="H4" s="11" t="s">
        <v>1374</v>
      </c>
      <c r="I4" s="11" t="s">
        <v>75</v>
      </c>
      <c r="J4" s="11" t="s">
        <v>1375</v>
      </c>
      <c r="K4" s="11" t="s">
        <v>1376</v>
      </c>
      <c r="L4" s="11" t="s">
        <v>1377</v>
      </c>
    </row>
    <row r="5" customFormat="false" ht="23.25" hidden="false" customHeight="true" outlineLevel="0" collapsed="false">
      <c r="A5" s="22" t="s">
        <v>1378</v>
      </c>
      <c r="B5" s="22" t="s">
        <v>1379</v>
      </c>
      <c r="C5" s="22" t="s">
        <v>47</v>
      </c>
      <c r="D5" s="22" t="s">
        <v>664</v>
      </c>
      <c r="E5" s="22" t="s">
        <v>1380</v>
      </c>
      <c r="F5" s="22" t="s">
        <v>1381</v>
      </c>
      <c r="G5" s="22" t="s">
        <v>1382</v>
      </c>
      <c r="H5" s="22" t="s">
        <v>83</v>
      </c>
      <c r="I5" s="22" t="s">
        <v>1383</v>
      </c>
      <c r="J5" s="22" t="s">
        <v>1384</v>
      </c>
      <c r="K5" s="22" t="s">
        <v>1385</v>
      </c>
      <c r="L5" s="22"/>
    </row>
    <row r="6" customFormat="false" ht="15" hidden="false" customHeight="true" outlineLevel="0" collapsed="false">
      <c r="A6" s="19"/>
      <c r="B6" s="20"/>
      <c r="C6" s="19"/>
      <c r="D6" s="19"/>
      <c r="E6" s="19"/>
      <c r="F6" s="19"/>
      <c r="G6" s="19"/>
      <c r="H6" s="19"/>
      <c r="I6" s="19"/>
      <c r="J6" s="19"/>
      <c r="K6" s="19"/>
      <c r="L6" s="19"/>
    </row>
    <row r="7" customFormat="false" ht="15" hidden="false" customHeight="true" outlineLevel="0" collapsed="false">
      <c r="A7" s="19"/>
      <c r="B7" s="20"/>
      <c r="C7" s="19"/>
      <c r="D7" s="19"/>
      <c r="E7" s="19"/>
      <c r="F7" s="19"/>
      <c r="G7" s="19"/>
      <c r="H7" s="19"/>
      <c r="I7" s="19"/>
      <c r="J7" s="19"/>
      <c r="K7" s="19"/>
      <c r="L7" s="19"/>
    </row>
    <row r="8" customFormat="false" ht="15" hidden="false" customHeight="true" outlineLevel="0" collapsed="false">
      <c r="A8" s="19"/>
      <c r="B8" s="20"/>
      <c r="C8" s="19"/>
      <c r="D8" s="19"/>
      <c r="E8" s="19"/>
      <c r="F8" s="19"/>
      <c r="G8" s="19"/>
      <c r="H8" s="19"/>
      <c r="I8" s="19"/>
      <c r="J8" s="19"/>
      <c r="K8" s="19"/>
      <c r="L8" s="19"/>
    </row>
    <row r="9" customFormat="false" ht="15" hidden="false" customHeight="true" outlineLevel="0" collapsed="false">
      <c r="A9" s="19"/>
      <c r="B9" s="20"/>
      <c r="C9" s="19"/>
      <c r="D9" s="19"/>
      <c r="E9" s="19"/>
      <c r="F9" s="19"/>
      <c r="G9" s="19"/>
      <c r="H9" s="19"/>
      <c r="I9" s="19"/>
      <c r="J9" s="19"/>
      <c r="K9" s="19"/>
      <c r="L9" s="19"/>
    </row>
    <row r="10" customFormat="false" ht="15" hidden="false" customHeight="true" outlineLevel="0" collapsed="false">
      <c r="A10" s="19"/>
      <c r="B10" s="20"/>
      <c r="C10" s="19"/>
      <c r="D10" s="19"/>
      <c r="E10" s="19"/>
      <c r="F10" s="19"/>
      <c r="G10" s="19"/>
      <c r="H10" s="19"/>
      <c r="I10" s="19"/>
      <c r="J10" s="19"/>
      <c r="K10" s="19"/>
      <c r="L10" s="19"/>
    </row>
    <row r="11" customFormat="false" ht="15" hidden="false" customHeight="true" outlineLevel="0" collapsed="false">
      <c r="A11" s="19"/>
      <c r="B11" s="20"/>
      <c r="C11" s="19"/>
      <c r="D11" s="19"/>
      <c r="E11" s="19"/>
      <c r="F11" s="19"/>
      <c r="G11" s="19"/>
      <c r="H11" s="19"/>
      <c r="I11" s="19"/>
      <c r="J11" s="19"/>
      <c r="K11" s="19"/>
      <c r="L11" s="19"/>
    </row>
    <row r="12" customFormat="false" ht="15" hidden="false" customHeight="true" outlineLevel="0" collapsed="false">
      <c r="A12" s="19"/>
      <c r="B12" s="20"/>
      <c r="C12" s="19"/>
      <c r="D12" s="19"/>
      <c r="E12" s="19"/>
      <c r="F12" s="19"/>
      <c r="G12" s="19"/>
      <c r="H12" s="19"/>
      <c r="I12" s="19"/>
      <c r="J12" s="19"/>
      <c r="K12" s="19"/>
      <c r="L12" s="19"/>
    </row>
    <row r="13" customFormat="false" ht="15" hidden="false" customHeight="true" outlineLevel="0" collapsed="false">
      <c r="A13" s="19"/>
      <c r="B13" s="20"/>
      <c r="C13" s="19"/>
      <c r="D13" s="19"/>
      <c r="E13" s="19"/>
      <c r="F13" s="19"/>
      <c r="G13" s="19"/>
      <c r="H13" s="19"/>
      <c r="I13" s="19"/>
      <c r="J13" s="19"/>
      <c r="K13" s="19"/>
      <c r="L13" s="19"/>
    </row>
    <row r="14" customFormat="false" ht="15" hidden="false" customHeight="true" outlineLevel="0" collapsed="false">
      <c r="A14" s="19"/>
      <c r="B14" s="20"/>
      <c r="C14" s="19"/>
      <c r="D14" s="19"/>
      <c r="E14" s="19"/>
      <c r="F14" s="19"/>
      <c r="G14" s="19"/>
      <c r="H14" s="19"/>
      <c r="I14" s="19"/>
      <c r="J14" s="19"/>
      <c r="K14" s="19"/>
      <c r="L14" s="19"/>
    </row>
    <row r="15" customFormat="false" ht="15" hidden="false" customHeight="true" outlineLevel="0" collapsed="false">
      <c r="A15" s="19"/>
      <c r="B15" s="20"/>
      <c r="C15" s="19"/>
      <c r="D15" s="19"/>
      <c r="E15" s="19"/>
      <c r="F15" s="19"/>
      <c r="G15" s="19"/>
      <c r="H15" s="19"/>
      <c r="I15" s="19"/>
      <c r="J15" s="19"/>
      <c r="K15" s="19"/>
      <c r="L15" s="19"/>
    </row>
    <row r="16" customFormat="false" ht="15" hidden="false" customHeight="true" outlineLevel="0" collapsed="false">
      <c r="A16" s="19"/>
      <c r="B16" s="20"/>
      <c r="C16" s="19"/>
      <c r="D16" s="19"/>
      <c r="E16" s="19"/>
      <c r="F16" s="19"/>
      <c r="G16" s="19"/>
      <c r="H16" s="19"/>
      <c r="I16" s="19"/>
      <c r="J16" s="19"/>
      <c r="K16" s="19"/>
      <c r="L16" s="19"/>
    </row>
    <row r="17" customFormat="false" ht="15" hidden="false" customHeight="true" outlineLevel="0" collapsed="false">
      <c r="A17" s="19"/>
      <c r="B17" s="20"/>
      <c r="C17" s="19"/>
      <c r="D17" s="19"/>
      <c r="E17" s="19"/>
      <c r="F17" s="19"/>
      <c r="G17" s="19"/>
      <c r="H17" s="19"/>
      <c r="I17" s="19"/>
      <c r="J17" s="19"/>
      <c r="K17" s="19"/>
      <c r="L17" s="19"/>
    </row>
    <row r="18" customFormat="false" ht="15" hidden="false" customHeight="true" outlineLevel="0" collapsed="false">
      <c r="A18" s="19"/>
      <c r="B18" s="20"/>
      <c r="C18" s="19"/>
      <c r="D18" s="19"/>
      <c r="E18" s="19"/>
      <c r="F18" s="19"/>
      <c r="G18" s="19"/>
      <c r="H18" s="19"/>
      <c r="I18" s="19"/>
      <c r="J18" s="19"/>
      <c r="K18" s="19"/>
      <c r="L18" s="19"/>
    </row>
    <row r="19" customFormat="false" ht="15" hidden="false" customHeight="true" outlineLevel="0" collapsed="false">
      <c r="A19" s="19"/>
      <c r="B19" s="20"/>
      <c r="C19" s="19"/>
      <c r="D19" s="19"/>
      <c r="E19" s="19"/>
      <c r="F19" s="19"/>
      <c r="G19" s="19"/>
      <c r="H19" s="19"/>
      <c r="I19" s="19"/>
      <c r="J19" s="19"/>
      <c r="K19" s="19"/>
      <c r="L19" s="19"/>
    </row>
    <row r="20" customFormat="false" ht="15" hidden="false" customHeight="true" outlineLevel="0" collapsed="false">
      <c r="A20" s="19"/>
      <c r="B20" s="20"/>
      <c r="C20" s="19"/>
      <c r="D20" s="19"/>
      <c r="E20" s="19"/>
      <c r="F20" s="19"/>
      <c r="G20" s="19"/>
      <c r="H20" s="19"/>
      <c r="I20" s="19"/>
      <c r="J20" s="19"/>
      <c r="K20" s="19"/>
      <c r="L20" s="19"/>
    </row>
    <row r="21" customFormat="false" ht="15" hidden="false" customHeight="true" outlineLevel="0" collapsed="false">
      <c r="A21" s="19"/>
      <c r="B21" s="20"/>
      <c r="C21" s="19"/>
      <c r="D21" s="19"/>
      <c r="E21" s="19"/>
      <c r="F21" s="19"/>
      <c r="G21" s="19"/>
      <c r="H21" s="19"/>
      <c r="I21" s="19"/>
      <c r="J21" s="19"/>
      <c r="K21" s="19"/>
      <c r="L21" s="19"/>
    </row>
    <row r="22" customFormat="false" ht="15" hidden="false" customHeight="true" outlineLevel="0" collapsed="false">
      <c r="A22" s="19"/>
      <c r="B22" s="20"/>
      <c r="C22" s="19"/>
      <c r="D22" s="19"/>
      <c r="E22" s="19"/>
      <c r="F22" s="19"/>
      <c r="G22" s="19"/>
      <c r="H22" s="19"/>
      <c r="I22" s="19"/>
      <c r="J22" s="19"/>
      <c r="K22" s="19"/>
      <c r="L22" s="19"/>
    </row>
    <row r="23" customFormat="false" ht="15" hidden="false" customHeight="true" outlineLevel="0" collapsed="false">
      <c r="A23" s="19"/>
      <c r="B23" s="20"/>
      <c r="C23" s="19"/>
      <c r="D23" s="19"/>
      <c r="E23" s="19"/>
      <c r="F23" s="19"/>
      <c r="G23" s="19"/>
      <c r="H23" s="19"/>
      <c r="I23" s="19"/>
      <c r="J23" s="19"/>
      <c r="K23" s="19"/>
      <c r="L23" s="19"/>
    </row>
    <row r="24" customFormat="false" ht="15" hidden="false" customHeight="true" outlineLevel="0" collapsed="false">
      <c r="A24" s="19"/>
      <c r="B24" s="20"/>
      <c r="C24" s="19"/>
      <c r="D24" s="19"/>
      <c r="E24" s="19"/>
      <c r="F24" s="19"/>
      <c r="G24" s="19"/>
      <c r="H24" s="19"/>
      <c r="I24" s="19"/>
      <c r="J24" s="19"/>
      <c r="K24" s="19"/>
      <c r="L24" s="19"/>
    </row>
    <row r="25" customFormat="false" ht="15" hidden="false" customHeight="true" outlineLevel="0" collapsed="false">
      <c r="A25" s="19"/>
      <c r="B25" s="20"/>
      <c r="C25" s="19"/>
      <c r="D25" s="19"/>
      <c r="E25" s="19"/>
      <c r="F25" s="19"/>
      <c r="G25" s="19"/>
      <c r="H25" s="19"/>
      <c r="I25" s="19"/>
      <c r="J25" s="19"/>
      <c r="K25" s="19"/>
      <c r="L25" s="19"/>
    </row>
    <row r="26" customFormat="false" ht="15" hidden="false" customHeight="true" outlineLevel="0" collapsed="false">
      <c r="A26" s="19"/>
      <c r="B26" s="20"/>
      <c r="C26" s="19"/>
      <c r="D26" s="19"/>
      <c r="E26" s="19"/>
      <c r="F26" s="19"/>
      <c r="G26" s="19"/>
      <c r="H26" s="19"/>
      <c r="I26" s="19"/>
      <c r="J26" s="19"/>
      <c r="K26" s="19"/>
      <c r="L26" s="19"/>
    </row>
    <row r="27" customFormat="false" ht="15" hidden="false" customHeight="true" outlineLevel="0" collapsed="false">
      <c r="A27" s="19"/>
      <c r="B27" s="20"/>
      <c r="C27" s="19"/>
      <c r="D27" s="19"/>
      <c r="E27" s="19"/>
      <c r="F27" s="19"/>
      <c r="G27" s="19"/>
      <c r="H27" s="19"/>
      <c r="I27" s="19"/>
      <c r="J27" s="19"/>
      <c r="K27" s="19"/>
      <c r="L27" s="19"/>
    </row>
    <row r="28" customFormat="false" ht="15" hidden="false" customHeight="true" outlineLevel="0" collapsed="false">
      <c r="A28" s="19"/>
      <c r="B28" s="20"/>
      <c r="C28" s="19"/>
      <c r="D28" s="19"/>
      <c r="E28" s="19"/>
      <c r="F28" s="19"/>
      <c r="G28" s="19"/>
      <c r="H28" s="19"/>
      <c r="I28" s="19"/>
      <c r="J28" s="19"/>
      <c r="K28" s="19"/>
      <c r="L28" s="19"/>
    </row>
    <row r="29" customFormat="false" ht="15" hidden="false" customHeight="true" outlineLevel="0" collapsed="false">
      <c r="A29" s="19"/>
      <c r="B29" s="20"/>
      <c r="C29" s="19"/>
      <c r="D29" s="19"/>
      <c r="E29" s="19"/>
      <c r="F29" s="19"/>
      <c r="G29" s="19"/>
      <c r="H29" s="19"/>
      <c r="I29" s="19"/>
      <c r="J29" s="19"/>
      <c r="K29" s="19"/>
      <c r="L29" s="19"/>
    </row>
    <row r="30" customFormat="false" ht="15" hidden="false" customHeight="true" outlineLevel="0" collapsed="false">
      <c r="A30" s="19"/>
      <c r="B30" s="20"/>
      <c r="C30" s="19"/>
      <c r="D30" s="19"/>
      <c r="E30" s="19"/>
      <c r="F30" s="19"/>
      <c r="G30" s="19"/>
      <c r="H30" s="19"/>
      <c r="I30" s="19"/>
      <c r="J30" s="19"/>
      <c r="K30" s="19"/>
      <c r="L30" s="19"/>
    </row>
    <row r="31" customFormat="false" ht="15" hidden="false" customHeight="true" outlineLevel="0" collapsed="false">
      <c r="A31" s="19"/>
      <c r="B31" s="20"/>
      <c r="C31" s="19"/>
      <c r="D31" s="19"/>
      <c r="E31" s="19"/>
      <c r="F31" s="19"/>
      <c r="G31" s="19"/>
      <c r="H31" s="19"/>
      <c r="I31" s="19"/>
      <c r="J31" s="19"/>
      <c r="K31" s="19"/>
      <c r="L31" s="19"/>
    </row>
    <row r="32" customFormat="false" ht="15" hidden="false" customHeight="true" outlineLevel="0" collapsed="false">
      <c r="A32" s="19"/>
      <c r="B32" s="20"/>
      <c r="C32" s="19"/>
      <c r="D32" s="19"/>
      <c r="E32" s="19"/>
      <c r="F32" s="19"/>
      <c r="G32" s="19"/>
      <c r="H32" s="19"/>
      <c r="I32" s="19"/>
      <c r="J32" s="19"/>
      <c r="K32" s="19"/>
      <c r="L32" s="19"/>
    </row>
    <row r="33" customFormat="false" ht="15" hidden="false" customHeight="true" outlineLevel="0" collapsed="false">
      <c r="A33" s="19"/>
      <c r="B33" s="20"/>
      <c r="C33" s="19"/>
      <c r="D33" s="19"/>
      <c r="E33" s="19"/>
      <c r="F33" s="19"/>
      <c r="G33" s="19"/>
      <c r="H33" s="19"/>
      <c r="I33" s="19"/>
      <c r="J33" s="19"/>
      <c r="K33" s="19"/>
      <c r="L33" s="19"/>
    </row>
    <row r="34" customFormat="false" ht="15" hidden="false" customHeight="true" outlineLevel="0" collapsed="false">
      <c r="A34" s="19"/>
      <c r="B34" s="20"/>
      <c r="C34" s="19"/>
      <c r="D34" s="19"/>
      <c r="E34" s="19"/>
      <c r="F34" s="19"/>
      <c r="G34" s="19"/>
      <c r="H34" s="19"/>
      <c r="I34" s="19"/>
      <c r="J34" s="19"/>
      <c r="K34" s="19"/>
      <c r="L34" s="19"/>
    </row>
    <row r="35" customFormat="false" ht="15" hidden="false" customHeight="true" outlineLevel="0" collapsed="false">
      <c r="A35" s="19"/>
      <c r="B35" s="20"/>
      <c r="C35" s="19"/>
      <c r="D35" s="19"/>
      <c r="E35" s="19"/>
      <c r="F35" s="19"/>
      <c r="G35" s="19"/>
      <c r="H35" s="19"/>
      <c r="I35" s="19"/>
      <c r="J35" s="19"/>
      <c r="K35" s="19"/>
      <c r="L35" s="19"/>
    </row>
    <row r="36" customFormat="false" ht="15" hidden="false" customHeight="true" outlineLevel="0" collapsed="false">
      <c r="A36" s="19"/>
      <c r="B36" s="20"/>
      <c r="C36" s="19"/>
      <c r="D36" s="19"/>
      <c r="E36" s="19"/>
      <c r="F36" s="19"/>
      <c r="G36" s="19"/>
      <c r="H36" s="19"/>
      <c r="I36" s="19"/>
      <c r="J36" s="19"/>
      <c r="K36" s="19"/>
      <c r="L36" s="19"/>
    </row>
    <row r="37" customFormat="false" ht="15" hidden="false" customHeight="true" outlineLevel="0" collapsed="false">
      <c r="A37" s="19"/>
      <c r="B37" s="20"/>
      <c r="C37" s="19"/>
      <c r="D37" s="19"/>
      <c r="E37" s="19"/>
      <c r="F37" s="19"/>
      <c r="G37" s="19"/>
      <c r="H37" s="19"/>
      <c r="I37" s="19"/>
      <c r="J37" s="19"/>
      <c r="K37" s="19"/>
      <c r="L37" s="19"/>
    </row>
    <row r="38" customFormat="false" ht="15" hidden="false" customHeight="true" outlineLevel="0" collapsed="false">
      <c r="A38" s="19"/>
      <c r="B38" s="20"/>
      <c r="C38" s="19"/>
      <c r="D38" s="19"/>
      <c r="E38" s="19"/>
      <c r="F38" s="19"/>
      <c r="G38" s="19"/>
      <c r="H38" s="19"/>
      <c r="I38" s="19"/>
      <c r="J38" s="19"/>
      <c r="K38" s="19"/>
      <c r="L38" s="19"/>
    </row>
    <row r="39" customFormat="false" ht="15" hidden="false" customHeight="true" outlineLevel="0" collapsed="false">
      <c r="A39" s="19"/>
      <c r="B39" s="20"/>
      <c r="C39" s="19"/>
      <c r="D39" s="19"/>
      <c r="E39" s="19"/>
      <c r="F39" s="19"/>
      <c r="G39" s="19"/>
      <c r="H39" s="19"/>
      <c r="I39" s="19"/>
      <c r="J39" s="19"/>
      <c r="K39" s="19"/>
      <c r="L39" s="19"/>
    </row>
    <row r="40" customFormat="false" ht="15" hidden="false" customHeight="true" outlineLevel="0" collapsed="false">
      <c r="A40" s="19"/>
      <c r="B40" s="20"/>
      <c r="C40" s="19"/>
      <c r="D40" s="19"/>
      <c r="E40" s="19"/>
      <c r="F40" s="19"/>
      <c r="G40" s="19"/>
      <c r="H40" s="19"/>
      <c r="I40" s="19"/>
      <c r="J40" s="19"/>
      <c r="K40" s="19"/>
      <c r="L40" s="19"/>
    </row>
    <row r="41" customFormat="false" ht="15" hidden="false" customHeight="true" outlineLevel="0" collapsed="false">
      <c r="A41" s="19"/>
      <c r="B41" s="20"/>
      <c r="C41" s="19"/>
      <c r="D41" s="19"/>
      <c r="E41" s="19"/>
      <c r="F41" s="19"/>
      <c r="G41" s="19"/>
      <c r="H41" s="19"/>
      <c r="I41" s="19"/>
      <c r="J41" s="19"/>
      <c r="K41" s="19"/>
      <c r="L41" s="19"/>
    </row>
    <row r="42" customFormat="false" ht="15" hidden="false" customHeight="true" outlineLevel="0" collapsed="false">
      <c r="A42" s="19"/>
      <c r="B42" s="20"/>
      <c r="C42" s="19"/>
      <c r="D42" s="19"/>
      <c r="E42" s="19"/>
      <c r="F42" s="19"/>
      <c r="G42" s="19"/>
      <c r="H42" s="19"/>
      <c r="I42" s="19"/>
      <c r="J42" s="19"/>
      <c r="K42" s="19"/>
      <c r="L42" s="19"/>
    </row>
    <row r="43" customFormat="false" ht="15" hidden="false" customHeight="true" outlineLevel="0" collapsed="false">
      <c r="A43" s="19"/>
      <c r="B43" s="20"/>
      <c r="C43" s="19"/>
      <c r="D43" s="19"/>
      <c r="E43" s="19"/>
      <c r="F43" s="19"/>
      <c r="G43" s="19"/>
      <c r="H43" s="19"/>
      <c r="I43" s="19"/>
      <c r="J43" s="19"/>
      <c r="K43" s="19"/>
      <c r="L43" s="19"/>
    </row>
    <row r="44" customFormat="false" ht="15" hidden="false" customHeight="true" outlineLevel="0" collapsed="false">
      <c r="A44" s="19"/>
      <c r="B44" s="20"/>
      <c r="C44" s="19"/>
      <c r="D44" s="19"/>
      <c r="E44" s="19"/>
      <c r="F44" s="19"/>
      <c r="G44" s="19"/>
      <c r="H44" s="19"/>
      <c r="I44" s="19"/>
      <c r="J44" s="19"/>
      <c r="K44" s="19"/>
      <c r="L44" s="19"/>
    </row>
    <row r="45" customFormat="false" ht="15" hidden="false" customHeight="true" outlineLevel="0" collapsed="false">
      <c r="A45" s="19"/>
      <c r="B45" s="20"/>
      <c r="C45" s="19"/>
      <c r="D45" s="19"/>
      <c r="E45" s="19"/>
      <c r="F45" s="19"/>
      <c r="G45" s="19"/>
      <c r="H45" s="19"/>
      <c r="I45" s="19"/>
      <c r="J45" s="19"/>
      <c r="K45" s="19"/>
      <c r="L45" s="19"/>
    </row>
    <row r="46" customFormat="false" ht="15" hidden="false" customHeight="true" outlineLevel="0" collapsed="false">
      <c r="A46" s="19"/>
      <c r="B46" s="20"/>
      <c r="C46" s="19"/>
      <c r="D46" s="19"/>
      <c r="E46" s="19"/>
      <c r="F46" s="19"/>
      <c r="G46" s="19"/>
      <c r="H46" s="19"/>
      <c r="I46" s="19"/>
      <c r="J46" s="19"/>
      <c r="K46" s="19"/>
      <c r="L46" s="19"/>
    </row>
    <row r="47" customFormat="false" ht="15" hidden="false" customHeight="true" outlineLevel="0" collapsed="false">
      <c r="A47" s="19"/>
      <c r="B47" s="20"/>
      <c r="C47" s="19"/>
      <c r="D47" s="19"/>
      <c r="E47" s="19"/>
      <c r="F47" s="19"/>
      <c r="G47" s="19"/>
      <c r="H47" s="19"/>
      <c r="I47" s="19"/>
      <c r="J47" s="19"/>
      <c r="K47" s="19"/>
      <c r="L47" s="19"/>
    </row>
    <row r="48" customFormat="false" ht="15" hidden="false" customHeight="true" outlineLevel="0" collapsed="false">
      <c r="A48" s="19"/>
      <c r="B48" s="20"/>
      <c r="C48" s="19"/>
      <c r="D48" s="19"/>
      <c r="E48" s="19"/>
      <c r="F48" s="19"/>
      <c r="G48" s="19"/>
      <c r="H48" s="19"/>
      <c r="I48" s="19"/>
      <c r="J48" s="19"/>
      <c r="K48" s="19"/>
      <c r="L48" s="19"/>
    </row>
    <row r="49" customFormat="false" ht="15" hidden="false" customHeight="true" outlineLevel="0" collapsed="false">
      <c r="A49" s="19"/>
      <c r="B49" s="20"/>
      <c r="C49" s="19"/>
      <c r="D49" s="19"/>
      <c r="E49" s="19"/>
      <c r="F49" s="19"/>
      <c r="G49" s="19"/>
      <c r="H49" s="19"/>
      <c r="I49" s="19"/>
      <c r="J49" s="19"/>
      <c r="K49" s="19"/>
      <c r="L49" s="19"/>
    </row>
    <row r="50" customFormat="false" ht="15" hidden="false" customHeight="true" outlineLevel="0" collapsed="false">
      <c r="A50" s="19"/>
      <c r="B50" s="20"/>
      <c r="C50" s="19"/>
      <c r="D50" s="19"/>
      <c r="E50" s="19"/>
      <c r="F50" s="19"/>
      <c r="G50" s="19"/>
      <c r="H50" s="19"/>
      <c r="I50" s="19"/>
      <c r="J50" s="19"/>
      <c r="K50" s="19"/>
      <c r="L50" s="19"/>
    </row>
    <row r="51" customFormat="false" ht="15" hidden="false" customHeight="true" outlineLevel="0" collapsed="false">
      <c r="A51" s="19"/>
      <c r="B51" s="20"/>
      <c r="C51" s="19"/>
      <c r="D51" s="19"/>
      <c r="E51" s="19"/>
      <c r="F51" s="19"/>
      <c r="G51" s="19"/>
      <c r="H51" s="19"/>
      <c r="I51" s="19"/>
      <c r="J51" s="19"/>
      <c r="K51" s="19"/>
      <c r="L51" s="19"/>
    </row>
    <row r="52" customFormat="false" ht="15" hidden="false" customHeight="true" outlineLevel="0" collapsed="false">
      <c r="A52" s="19"/>
      <c r="B52" s="20"/>
      <c r="C52" s="19"/>
      <c r="D52" s="19"/>
      <c r="E52" s="19"/>
      <c r="F52" s="19"/>
      <c r="G52" s="19"/>
      <c r="H52" s="19"/>
      <c r="I52" s="19"/>
      <c r="J52" s="19"/>
      <c r="K52" s="19"/>
      <c r="L52" s="19"/>
    </row>
    <row r="53" customFormat="false" ht="15" hidden="false" customHeight="true" outlineLevel="0" collapsed="false">
      <c r="A53" s="19"/>
      <c r="B53" s="20"/>
      <c r="C53" s="19"/>
      <c r="D53" s="19"/>
      <c r="E53" s="19"/>
      <c r="F53" s="19"/>
      <c r="G53" s="19"/>
      <c r="H53" s="19"/>
      <c r="I53" s="19"/>
      <c r="J53" s="19"/>
      <c r="K53" s="19"/>
      <c r="L53" s="19"/>
    </row>
    <row r="54" customFormat="false" ht="15" hidden="false" customHeight="true" outlineLevel="0" collapsed="false">
      <c r="A54" s="19"/>
      <c r="B54" s="20"/>
      <c r="C54" s="19"/>
      <c r="D54" s="19"/>
      <c r="E54" s="19"/>
      <c r="F54" s="19"/>
      <c r="G54" s="19"/>
      <c r="H54" s="19"/>
      <c r="I54" s="19"/>
      <c r="J54" s="19"/>
      <c r="K54" s="19"/>
      <c r="L54" s="19"/>
    </row>
    <row r="55" customFormat="false" ht="15" hidden="false" customHeight="true" outlineLevel="0" collapsed="false">
      <c r="A55" s="19"/>
      <c r="B55" s="20"/>
      <c r="C55" s="19"/>
      <c r="D55" s="19"/>
      <c r="E55" s="19"/>
      <c r="F55" s="19"/>
      <c r="G55" s="19"/>
      <c r="H55" s="19"/>
      <c r="I55" s="19"/>
      <c r="J55" s="19"/>
      <c r="K55" s="19"/>
      <c r="L55" s="19"/>
    </row>
    <row r="56" customFormat="false" ht="15" hidden="false" customHeight="true" outlineLevel="0" collapsed="false">
      <c r="A56" s="19"/>
      <c r="B56" s="20"/>
      <c r="C56" s="19"/>
      <c r="D56" s="19"/>
      <c r="E56" s="19"/>
      <c r="F56" s="19"/>
      <c r="G56" s="19"/>
      <c r="H56" s="19"/>
      <c r="I56" s="19"/>
      <c r="J56" s="19"/>
      <c r="K56" s="19"/>
      <c r="L56" s="19"/>
    </row>
    <row r="57" customFormat="false" ht="15" hidden="false" customHeight="true" outlineLevel="0" collapsed="false">
      <c r="A57" s="19"/>
      <c r="B57" s="20"/>
      <c r="C57" s="19"/>
      <c r="D57" s="19"/>
      <c r="E57" s="19"/>
      <c r="F57" s="19"/>
      <c r="G57" s="19"/>
      <c r="H57" s="19"/>
      <c r="I57" s="19"/>
      <c r="J57" s="19"/>
      <c r="K57" s="19"/>
      <c r="L57" s="19"/>
    </row>
    <row r="58" customFormat="false" ht="15" hidden="false" customHeight="true" outlineLevel="0" collapsed="false">
      <c r="A58" s="19"/>
      <c r="B58" s="20"/>
      <c r="C58" s="19"/>
      <c r="D58" s="19"/>
      <c r="E58" s="19"/>
      <c r="F58" s="19"/>
      <c r="G58" s="19"/>
      <c r="H58" s="19"/>
      <c r="I58" s="19"/>
      <c r="J58" s="19"/>
      <c r="K58" s="19"/>
      <c r="L58" s="19"/>
    </row>
    <row r="59" customFormat="false" ht="15" hidden="false" customHeight="true" outlineLevel="0" collapsed="false">
      <c r="A59" s="19"/>
      <c r="B59" s="20"/>
      <c r="C59" s="19"/>
      <c r="D59" s="19"/>
      <c r="E59" s="19"/>
      <c r="F59" s="19"/>
      <c r="G59" s="19"/>
      <c r="H59" s="19"/>
      <c r="I59" s="19"/>
      <c r="J59" s="19"/>
      <c r="K59" s="19"/>
      <c r="L59" s="19"/>
    </row>
    <row r="60" customFormat="false" ht="15" hidden="false" customHeight="true" outlineLevel="0" collapsed="false">
      <c r="A60" s="19"/>
      <c r="B60" s="20"/>
      <c r="C60" s="19"/>
      <c r="D60" s="19"/>
      <c r="E60" s="19"/>
      <c r="F60" s="19"/>
      <c r="G60" s="19"/>
      <c r="H60" s="19"/>
      <c r="I60" s="19"/>
      <c r="J60" s="19"/>
      <c r="K60" s="19"/>
      <c r="L60" s="19"/>
    </row>
    <row r="61" customFormat="false" ht="15" hidden="false" customHeight="true" outlineLevel="0" collapsed="false">
      <c r="A61" s="19"/>
      <c r="B61" s="20"/>
      <c r="C61" s="19"/>
      <c r="D61" s="19"/>
      <c r="E61" s="19"/>
      <c r="F61" s="19"/>
      <c r="G61" s="19"/>
      <c r="H61" s="19"/>
      <c r="I61" s="19"/>
      <c r="J61" s="19"/>
      <c r="K61" s="19"/>
      <c r="L61" s="19"/>
    </row>
    <row r="62" customFormat="false" ht="15" hidden="false" customHeight="true" outlineLevel="0" collapsed="false">
      <c r="A62" s="19"/>
      <c r="B62" s="20"/>
      <c r="C62" s="19"/>
      <c r="D62" s="19"/>
      <c r="E62" s="19"/>
      <c r="F62" s="19"/>
      <c r="G62" s="19"/>
      <c r="H62" s="19"/>
      <c r="I62" s="19"/>
      <c r="J62" s="19"/>
      <c r="K62" s="19"/>
      <c r="L62" s="19"/>
    </row>
    <row r="63" customFormat="false" ht="15" hidden="false" customHeight="true" outlineLevel="0" collapsed="false">
      <c r="A63" s="19"/>
      <c r="B63" s="20"/>
      <c r="C63" s="19"/>
      <c r="D63" s="19"/>
      <c r="E63" s="19"/>
      <c r="F63" s="19"/>
      <c r="G63" s="19"/>
      <c r="H63" s="19"/>
      <c r="I63" s="19"/>
      <c r="J63" s="19"/>
      <c r="K63" s="19"/>
      <c r="L63" s="19"/>
    </row>
    <row r="64" customFormat="false" ht="15" hidden="false" customHeight="true" outlineLevel="0" collapsed="false">
      <c r="A64" s="19"/>
      <c r="B64" s="20"/>
      <c r="C64" s="19"/>
      <c r="D64" s="19"/>
      <c r="E64" s="19"/>
      <c r="F64" s="19"/>
      <c r="G64" s="19"/>
      <c r="H64" s="19"/>
      <c r="I64" s="19"/>
      <c r="J64" s="19"/>
      <c r="K64" s="19"/>
      <c r="L64" s="19"/>
    </row>
    <row r="65" customFormat="false" ht="15" hidden="false" customHeight="true" outlineLevel="0" collapsed="false">
      <c r="A65" s="19"/>
      <c r="B65" s="20"/>
      <c r="C65" s="19"/>
      <c r="D65" s="19"/>
      <c r="E65" s="19"/>
      <c r="F65" s="19"/>
      <c r="G65" s="19"/>
      <c r="H65" s="19"/>
      <c r="I65" s="19"/>
      <c r="J65" s="19"/>
      <c r="K65" s="19"/>
      <c r="L65" s="19"/>
    </row>
    <row r="66" customFormat="false" ht="15" hidden="false" customHeight="true" outlineLevel="0" collapsed="false">
      <c r="A66" s="19"/>
      <c r="B66" s="20"/>
      <c r="C66" s="19"/>
      <c r="D66" s="19"/>
      <c r="E66" s="19"/>
      <c r="F66" s="19"/>
      <c r="G66" s="19"/>
      <c r="H66" s="19"/>
      <c r="I66" s="19"/>
      <c r="J66" s="19"/>
      <c r="K66" s="19"/>
      <c r="L66" s="19"/>
    </row>
    <row r="67" customFormat="false" ht="15" hidden="false" customHeight="true" outlineLevel="0" collapsed="false">
      <c r="A67" s="19"/>
      <c r="B67" s="20"/>
      <c r="C67" s="19"/>
      <c r="D67" s="19"/>
      <c r="E67" s="19"/>
      <c r="F67" s="19"/>
      <c r="G67" s="19"/>
      <c r="H67" s="19"/>
      <c r="I67" s="19"/>
      <c r="J67" s="19"/>
      <c r="K67" s="19"/>
      <c r="L67" s="19"/>
    </row>
    <row r="68" customFormat="false" ht="15" hidden="false" customHeight="true" outlineLevel="0" collapsed="false">
      <c r="A68" s="19"/>
      <c r="B68" s="20"/>
      <c r="C68" s="19"/>
      <c r="D68" s="19"/>
      <c r="E68" s="19"/>
      <c r="F68" s="19"/>
      <c r="G68" s="19"/>
      <c r="H68" s="19"/>
      <c r="I68" s="19"/>
      <c r="J68" s="19"/>
      <c r="K68" s="19"/>
      <c r="L68" s="19"/>
    </row>
    <row r="69" customFormat="false" ht="15" hidden="false" customHeight="true" outlineLevel="0" collapsed="false">
      <c r="A69" s="19"/>
      <c r="B69" s="20"/>
      <c r="C69" s="19"/>
      <c r="D69" s="19"/>
      <c r="E69" s="19"/>
      <c r="F69" s="19"/>
      <c r="G69" s="19"/>
      <c r="H69" s="19"/>
      <c r="I69" s="19"/>
      <c r="J69" s="19"/>
      <c r="K69" s="19"/>
      <c r="L69" s="19"/>
    </row>
    <row r="70" customFormat="false" ht="15" hidden="false" customHeight="true" outlineLevel="0" collapsed="false">
      <c r="A70" s="19"/>
      <c r="B70" s="20"/>
      <c r="C70" s="19"/>
      <c r="D70" s="19"/>
      <c r="E70" s="19"/>
      <c r="F70" s="19"/>
      <c r="G70" s="19"/>
      <c r="H70" s="19"/>
      <c r="I70" s="19"/>
      <c r="J70" s="19"/>
      <c r="K70" s="19"/>
      <c r="L70" s="19"/>
    </row>
    <row r="71" customFormat="false" ht="15" hidden="false" customHeight="true" outlineLevel="0" collapsed="false">
      <c r="A71" s="19"/>
      <c r="B71" s="20"/>
      <c r="C71" s="19"/>
      <c r="D71" s="19"/>
      <c r="E71" s="19"/>
      <c r="F71" s="19"/>
      <c r="G71" s="19"/>
      <c r="H71" s="19"/>
      <c r="I71" s="19"/>
      <c r="J71" s="19"/>
      <c r="K71" s="19"/>
      <c r="L71" s="19"/>
    </row>
    <row r="72" customFormat="false" ht="15" hidden="false" customHeight="true" outlineLevel="0" collapsed="false">
      <c r="A72" s="19"/>
      <c r="B72" s="20"/>
      <c r="C72" s="19"/>
      <c r="D72" s="19"/>
      <c r="E72" s="19"/>
      <c r="F72" s="19"/>
      <c r="G72" s="19"/>
      <c r="H72" s="19"/>
      <c r="I72" s="19"/>
      <c r="J72" s="19"/>
      <c r="K72" s="19"/>
      <c r="L72" s="19"/>
    </row>
    <row r="73" customFormat="false" ht="15" hidden="false" customHeight="true" outlineLevel="0" collapsed="false">
      <c r="A73" s="19"/>
      <c r="B73" s="20"/>
      <c r="C73" s="19"/>
      <c r="D73" s="19"/>
      <c r="E73" s="19"/>
      <c r="F73" s="19"/>
      <c r="G73" s="19"/>
      <c r="H73" s="19"/>
      <c r="I73" s="19"/>
      <c r="J73" s="19"/>
      <c r="K73" s="19"/>
      <c r="L73" s="19"/>
    </row>
    <row r="74" customFormat="false" ht="15" hidden="false" customHeight="true" outlineLevel="0" collapsed="false">
      <c r="A74" s="19"/>
      <c r="B74" s="20"/>
      <c r="C74" s="19"/>
      <c r="D74" s="19"/>
      <c r="E74" s="19"/>
      <c r="F74" s="19"/>
      <c r="G74" s="19"/>
      <c r="H74" s="19"/>
      <c r="I74" s="19"/>
      <c r="J74" s="19"/>
      <c r="K74" s="19"/>
      <c r="L74" s="19"/>
    </row>
    <row r="75" customFormat="false" ht="15" hidden="false" customHeight="true" outlineLevel="0" collapsed="false">
      <c r="A75" s="19"/>
      <c r="B75" s="20"/>
      <c r="C75" s="19"/>
      <c r="D75" s="19"/>
      <c r="E75" s="19"/>
      <c r="F75" s="19"/>
      <c r="G75" s="19"/>
      <c r="H75" s="19"/>
      <c r="I75" s="19"/>
      <c r="J75" s="19"/>
      <c r="K75" s="19"/>
      <c r="L75" s="19"/>
    </row>
    <row r="76" customFormat="false" ht="15" hidden="false" customHeight="true" outlineLevel="0" collapsed="false">
      <c r="A76" s="19"/>
      <c r="B76" s="20"/>
      <c r="C76" s="19"/>
      <c r="D76" s="19"/>
      <c r="E76" s="19"/>
      <c r="F76" s="19"/>
      <c r="G76" s="19"/>
      <c r="H76" s="19"/>
      <c r="I76" s="19"/>
      <c r="J76" s="19"/>
      <c r="K76" s="19"/>
      <c r="L76" s="19"/>
    </row>
    <row r="77" customFormat="false" ht="15" hidden="false" customHeight="true" outlineLevel="0" collapsed="false">
      <c r="A77" s="19"/>
      <c r="B77" s="20"/>
      <c r="C77" s="19"/>
      <c r="D77" s="19"/>
      <c r="E77" s="19"/>
      <c r="F77" s="19"/>
      <c r="G77" s="19"/>
      <c r="H77" s="19"/>
      <c r="I77" s="19"/>
      <c r="J77" s="19"/>
      <c r="K77" s="19"/>
      <c r="L77" s="19"/>
    </row>
    <row r="78" customFormat="false" ht="15" hidden="false" customHeight="true" outlineLevel="0" collapsed="false">
      <c r="A78" s="19"/>
      <c r="B78" s="20"/>
      <c r="C78" s="19"/>
      <c r="D78" s="19"/>
      <c r="E78" s="19"/>
      <c r="F78" s="19"/>
      <c r="G78" s="19"/>
      <c r="H78" s="19"/>
      <c r="I78" s="19"/>
      <c r="J78" s="19"/>
      <c r="K78" s="19"/>
      <c r="L78" s="19"/>
    </row>
    <row r="79" customFormat="false" ht="15" hidden="false" customHeight="true" outlineLevel="0" collapsed="false">
      <c r="A79" s="19"/>
      <c r="B79" s="20"/>
      <c r="C79" s="19"/>
      <c r="D79" s="19"/>
      <c r="E79" s="19"/>
      <c r="F79" s="19"/>
      <c r="G79" s="19"/>
      <c r="H79" s="19"/>
      <c r="I79" s="19"/>
      <c r="J79" s="19"/>
      <c r="K79" s="19"/>
      <c r="L79" s="19"/>
    </row>
    <row r="80" customFormat="false" ht="15" hidden="false" customHeight="true" outlineLevel="0" collapsed="false">
      <c r="A80" s="19"/>
      <c r="B80" s="20"/>
      <c r="C80" s="19"/>
      <c r="D80" s="19"/>
      <c r="E80" s="19"/>
      <c r="F80" s="19"/>
      <c r="G80" s="19"/>
      <c r="H80" s="19"/>
      <c r="I80" s="19"/>
      <c r="J80" s="19"/>
      <c r="K80" s="19"/>
      <c r="L80" s="19"/>
    </row>
    <row r="81" customFormat="false" ht="15" hidden="false" customHeight="true" outlineLevel="0" collapsed="false">
      <c r="A81" s="19"/>
      <c r="B81" s="20"/>
      <c r="C81" s="19"/>
      <c r="D81" s="19"/>
      <c r="E81" s="19"/>
      <c r="F81" s="19"/>
      <c r="G81" s="19"/>
      <c r="H81" s="19"/>
      <c r="I81" s="19"/>
      <c r="J81" s="19"/>
      <c r="K81" s="19"/>
      <c r="L81" s="19"/>
    </row>
    <row r="82" customFormat="false" ht="15" hidden="false" customHeight="true" outlineLevel="0" collapsed="false">
      <c r="A82" s="19"/>
      <c r="B82" s="20"/>
      <c r="C82" s="19"/>
      <c r="D82" s="19"/>
      <c r="E82" s="19"/>
      <c r="F82" s="19"/>
      <c r="G82" s="19"/>
      <c r="H82" s="19"/>
      <c r="I82" s="19"/>
      <c r="J82" s="19"/>
      <c r="K82" s="19"/>
      <c r="L82" s="19"/>
    </row>
    <row r="83" customFormat="false" ht="15" hidden="false" customHeight="true" outlineLevel="0" collapsed="false">
      <c r="A83" s="19"/>
      <c r="B83" s="20"/>
      <c r="C83" s="19"/>
      <c r="D83" s="19"/>
      <c r="E83" s="19"/>
      <c r="F83" s="19"/>
      <c r="G83" s="19"/>
      <c r="H83" s="19"/>
      <c r="I83" s="19"/>
      <c r="J83" s="19"/>
      <c r="K83" s="19"/>
      <c r="L83" s="19"/>
    </row>
    <row r="84" customFormat="false" ht="15" hidden="false" customHeight="true" outlineLevel="0" collapsed="false">
      <c r="A84" s="19"/>
      <c r="B84" s="20"/>
      <c r="C84" s="19"/>
      <c r="D84" s="19"/>
      <c r="E84" s="19"/>
      <c r="F84" s="19"/>
      <c r="G84" s="19"/>
      <c r="H84" s="19"/>
      <c r="I84" s="19"/>
      <c r="J84" s="19"/>
      <c r="K84" s="19"/>
      <c r="L84" s="19"/>
    </row>
    <row r="85" customFormat="false" ht="15" hidden="false" customHeight="true" outlineLevel="0" collapsed="false">
      <c r="A85" s="19"/>
      <c r="B85" s="20"/>
      <c r="C85" s="19"/>
      <c r="D85" s="19"/>
      <c r="E85" s="19"/>
      <c r="F85" s="19"/>
      <c r="G85" s="19"/>
      <c r="H85" s="19"/>
      <c r="I85" s="19"/>
      <c r="J85" s="19"/>
      <c r="K85" s="19"/>
      <c r="L85" s="19"/>
    </row>
    <row r="86" customFormat="false" ht="15" hidden="false" customHeight="true" outlineLevel="0" collapsed="false">
      <c r="A86" s="19"/>
      <c r="B86" s="20"/>
      <c r="C86" s="19"/>
      <c r="D86" s="19"/>
      <c r="E86" s="19"/>
      <c r="F86" s="19"/>
      <c r="G86" s="19"/>
      <c r="H86" s="19"/>
      <c r="I86" s="19"/>
      <c r="J86" s="19"/>
      <c r="K86" s="19"/>
      <c r="L86" s="19"/>
    </row>
    <row r="87" customFormat="false" ht="15" hidden="false" customHeight="true" outlineLevel="0" collapsed="false">
      <c r="A87" s="19"/>
      <c r="B87" s="20"/>
      <c r="C87" s="19"/>
      <c r="D87" s="19"/>
      <c r="E87" s="19"/>
      <c r="F87" s="19"/>
      <c r="G87" s="19"/>
      <c r="H87" s="19"/>
      <c r="I87" s="19"/>
      <c r="J87" s="19"/>
      <c r="K87" s="19"/>
      <c r="L87" s="19"/>
    </row>
    <row r="88" customFormat="false" ht="15" hidden="false" customHeight="true" outlineLevel="0" collapsed="false">
      <c r="A88" s="19"/>
      <c r="B88" s="20"/>
      <c r="C88" s="19"/>
      <c r="D88" s="19"/>
      <c r="E88" s="19"/>
      <c r="F88" s="19"/>
      <c r="G88" s="19"/>
      <c r="H88" s="19"/>
      <c r="I88" s="19"/>
      <c r="J88" s="19"/>
      <c r="K88" s="19"/>
      <c r="L88" s="19"/>
    </row>
    <row r="89" customFormat="false" ht="15" hidden="false" customHeight="true" outlineLevel="0" collapsed="false">
      <c r="A89" s="19"/>
      <c r="B89" s="20"/>
      <c r="C89" s="19"/>
      <c r="D89" s="19"/>
      <c r="E89" s="19"/>
      <c r="F89" s="19"/>
      <c r="G89" s="19"/>
      <c r="H89" s="19"/>
      <c r="I89" s="19"/>
      <c r="J89" s="19"/>
      <c r="K89" s="19"/>
      <c r="L89" s="19"/>
    </row>
    <row r="90" customFormat="false" ht="15" hidden="false" customHeight="true" outlineLevel="0" collapsed="false">
      <c r="A90" s="19"/>
      <c r="B90" s="20"/>
      <c r="C90" s="19"/>
      <c r="D90" s="19"/>
      <c r="E90" s="19"/>
      <c r="F90" s="19"/>
      <c r="G90" s="19"/>
      <c r="H90" s="19"/>
      <c r="I90" s="19"/>
      <c r="J90" s="19"/>
      <c r="K90" s="19"/>
      <c r="L90" s="19"/>
    </row>
    <row r="91" customFormat="false" ht="15" hidden="false" customHeight="true" outlineLevel="0" collapsed="false">
      <c r="A91" s="19"/>
      <c r="B91" s="20"/>
      <c r="C91" s="19"/>
      <c r="D91" s="19"/>
      <c r="E91" s="19"/>
      <c r="F91" s="19"/>
      <c r="G91" s="19"/>
      <c r="H91" s="19"/>
      <c r="I91" s="19"/>
      <c r="J91" s="19"/>
      <c r="K91" s="19"/>
      <c r="L91" s="19"/>
    </row>
    <row r="92" customFormat="false" ht="15" hidden="false" customHeight="true" outlineLevel="0" collapsed="false">
      <c r="A92" s="19"/>
      <c r="B92" s="20"/>
      <c r="C92" s="19"/>
      <c r="D92" s="19"/>
      <c r="E92" s="19"/>
      <c r="F92" s="19"/>
      <c r="G92" s="19"/>
      <c r="H92" s="19"/>
      <c r="I92" s="19"/>
      <c r="J92" s="19"/>
      <c r="K92" s="19"/>
      <c r="L92" s="19"/>
    </row>
    <row r="93" customFormat="false" ht="15" hidden="false" customHeight="true" outlineLevel="0" collapsed="false">
      <c r="A93" s="19"/>
      <c r="B93" s="20"/>
      <c r="C93" s="19"/>
      <c r="D93" s="19"/>
      <c r="E93" s="19"/>
      <c r="F93" s="19"/>
      <c r="G93" s="19"/>
      <c r="H93" s="19"/>
      <c r="I93" s="19"/>
      <c r="J93" s="19"/>
      <c r="K93" s="19"/>
      <c r="L93" s="19"/>
    </row>
    <row r="94" customFormat="false" ht="15" hidden="false" customHeight="true" outlineLevel="0" collapsed="false">
      <c r="A94" s="19"/>
      <c r="B94" s="20"/>
      <c r="C94" s="19"/>
      <c r="D94" s="19"/>
      <c r="E94" s="19"/>
      <c r="F94" s="19"/>
      <c r="G94" s="19"/>
      <c r="H94" s="19"/>
      <c r="I94" s="19"/>
      <c r="J94" s="19"/>
      <c r="K94" s="19"/>
      <c r="L94" s="19"/>
    </row>
    <row r="95" customFormat="false" ht="15" hidden="false" customHeight="true" outlineLevel="0" collapsed="false">
      <c r="A95" s="19"/>
      <c r="B95" s="20"/>
      <c r="C95" s="19"/>
      <c r="D95" s="19"/>
      <c r="E95" s="19"/>
      <c r="F95" s="19"/>
      <c r="G95" s="19"/>
      <c r="H95" s="19"/>
      <c r="I95" s="19"/>
      <c r="J95" s="19"/>
      <c r="K95" s="19"/>
      <c r="L95" s="19"/>
    </row>
    <row r="96" customFormat="false" ht="15" hidden="false" customHeight="true" outlineLevel="0" collapsed="false">
      <c r="A96" s="19"/>
      <c r="B96" s="20"/>
      <c r="C96" s="19"/>
      <c r="D96" s="19"/>
      <c r="E96" s="19"/>
      <c r="F96" s="19"/>
      <c r="G96" s="19"/>
      <c r="H96" s="19"/>
      <c r="I96" s="19"/>
      <c r="J96" s="19"/>
      <c r="K96" s="19"/>
      <c r="L96" s="19"/>
    </row>
    <row r="97" customFormat="false" ht="15" hidden="false" customHeight="true" outlineLevel="0" collapsed="false">
      <c r="A97" s="19"/>
      <c r="B97" s="20"/>
      <c r="C97" s="19"/>
      <c r="D97" s="19"/>
      <c r="E97" s="19"/>
      <c r="F97" s="19"/>
      <c r="G97" s="19"/>
      <c r="H97" s="19"/>
      <c r="I97" s="19"/>
      <c r="J97" s="19"/>
      <c r="K97" s="19"/>
      <c r="L97" s="19"/>
    </row>
    <row r="98" customFormat="false" ht="15" hidden="false" customHeight="true" outlineLevel="0" collapsed="false">
      <c r="A98" s="19"/>
      <c r="B98" s="20"/>
      <c r="C98" s="19"/>
      <c r="D98" s="19"/>
      <c r="E98" s="19"/>
      <c r="F98" s="19"/>
      <c r="G98" s="19"/>
      <c r="H98" s="19"/>
      <c r="I98" s="19"/>
      <c r="J98" s="19"/>
      <c r="K98" s="19"/>
      <c r="L98" s="19"/>
    </row>
    <row r="99" customFormat="false" ht="15" hidden="false" customHeight="true" outlineLevel="0" collapsed="false">
      <c r="A99" s="19"/>
      <c r="B99" s="20"/>
      <c r="C99" s="19"/>
      <c r="D99" s="19"/>
      <c r="E99" s="19"/>
      <c r="F99" s="19"/>
      <c r="G99" s="19"/>
      <c r="H99" s="19"/>
      <c r="I99" s="19"/>
      <c r="J99" s="19"/>
      <c r="K99" s="19"/>
      <c r="L99" s="19"/>
    </row>
    <row r="100" customFormat="false" ht="15" hidden="false" customHeight="true" outlineLevel="0" collapsed="false">
      <c r="A100" s="19"/>
      <c r="B100" s="20"/>
      <c r="C100" s="19"/>
      <c r="D100" s="19"/>
      <c r="E100" s="19"/>
      <c r="F100" s="19"/>
      <c r="G100" s="19"/>
      <c r="H100" s="19"/>
      <c r="I100" s="19"/>
      <c r="J100" s="19"/>
      <c r="K100" s="19"/>
      <c r="L100" s="19"/>
    </row>
    <row r="101" customFormat="false" ht="15" hidden="false" customHeight="true" outlineLevel="0" collapsed="false">
      <c r="A101" s="19"/>
      <c r="B101" s="20"/>
      <c r="C101" s="19"/>
      <c r="D101" s="19"/>
      <c r="E101" s="19"/>
      <c r="F101" s="19"/>
      <c r="G101" s="19"/>
      <c r="H101" s="19"/>
      <c r="I101" s="19"/>
      <c r="J101" s="19"/>
      <c r="K101" s="19"/>
      <c r="L101" s="19"/>
    </row>
    <row r="102" customFormat="false" ht="15" hidden="false" customHeight="true" outlineLevel="0" collapsed="false">
      <c r="A102" s="19"/>
      <c r="B102" s="20"/>
      <c r="C102" s="19"/>
      <c r="D102" s="19"/>
      <c r="E102" s="19"/>
      <c r="F102" s="19"/>
      <c r="G102" s="19"/>
      <c r="H102" s="19"/>
      <c r="I102" s="19"/>
      <c r="J102" s="19"/>
      <c r="K102" s="19"/>
      <c r="L102" s="19"/>
    </row>
    <row r="103" customFormat="false" ht="15" hidden="false" customHeight="true" outlineLevel="0" collapsed="false">
      <c r="A103" s="19"/>
      <c r="B103" s="20"/>
      <c r="C103" s="19"/>
      <c r="D103" s="19"/>
      <c r="E103" s="19"/>
      <c r="F103" s="19"/>
      <c r="G103" s="19"/>
      <c r="H103" s="19"/>
      <c r="I103" s="19"/>
      <c r="J103" s="19"/>
      <c r="K103" s="19"/>
      <c r="L103" s="19"/>
    </row>
    <row r="104" customFormat="false" ht="15" hidden="false" customHeight="true" outlineLevel="0" collapsed="false">
      <c r="A104" s="19"/>
      <c r="B104" s="20"/>
      <c r="C104" s="19"/>
      <c r="D104" s="19"/>
      <c r="E104" s="19"/>
      <c r="F104" s="19"/>
      <c r="G104" s="19"/>
      <c r="H104" s="19"/>
      <c r="I104" s="19"/>
      <c r="J104" s="19"/>
      <c r="K104" s="19"/>
      <c r="L104" s="19"/>
    </row>
    <row r="105" customFormat="false" ht="15" hidden="false" customHeight="true" outlineLevel="0" collapsed="false">
      <c r="A105" s="19"/>
      <c r="B105" s="20"/>
      <c r="C105" s="19"/>
      <c r="D105" s="19"/>
      <c r="E105" s="19"/>
      <c r="F105" s="19"/>
      <c r="G105" s="19"/>
      <c r="H105" s="19"/>
      <c r="I105" s="19"/>
      <c r="J105" s="19"/>
      <c r="K105" s="19"/>
      <c r="L105" s="19"/>
    </row>
    <row r="106" customFormat="false" ht="15" hidden="false" customHeight="true" outlineLevel="0" collapsed="false">
      <c r="A106" s="19"/>
      <c r="B106" s="20"/>
      <c r="C106" s="19"/>
      <c r="D106" s="19"/>
      <c r="E106" s="19"/>
      <c r="F106" s="19"/>
      <c r="G106" s="19"/>
      <c r="H106" s="19"/>
      <c r="I106" s="19"/>
      <c r="J106" s="19"/>
      <c r="K106" s="19"/>
      <c r="L106" s="19"/>
    </row>
    <row r="107" customFormat="false" ht="15" hidden="false" customHeight="true" outlineLevel="0" collapsed="false">
      <c r="A107" s="19"/>
      <c r="B107" s="20"/>
      <c r="C107" s="19"/>
      <c r="D107" s="19"/>
      <c r="E107" s="19"/>
      <c r="F107" s="19"/>
      <c r="G107" s="19"/>
      <c r="H107" s="19"/>
      <c r="I107" s="19"/>
      <c r="J107" s="19"/>
      <c r="K107" s="19"/>
      <c r="L107" s="19"/>
    </row>
    <row r="108" customFormat="false" ht="15" hidden="false" customHeight="true" outlineLevel="0" collapsed="false">
      <c r="A108" s="19"/>
      <c r="B108" s="20"/>
      <c r="C108" s="19"/>
      <c r="D108" s="19"/>
      <c r="E108" s="19"/>
      <c r="F108" s="19"/>
      <c r="G108" s="19"/>
      <c r="H108" s="19"/>
      <c r="I108" s="19"/>
      <c r="J108" s="19"/>
      <c r="K108" s="19"/>
      <c r="L108" s="19"/>
    </row>
    <row r="109" customFormat="false" ht="15" hidden="false" customHeight="true" outlineLevel="0" collapsed="false">
      <c r="A109" s="19"/>
      <c r="B109" s="20"/>
      <c r="C109" s="19"/>
      <c r="D109" s="19"/>
      <c r="E109" s="19"/>
      <c r="F109" s="19"/>
      <c r="G109" s="19"/>
      <c r="H109" s="19"/>
      <c r="I109" s="19"/>
      <c r="J109" s="19"/>
      <c r="K109" s="19"/>
      <c r="L109" s="19"/>
    </row>
    <row r="110" customFormat="false" ht="15" hidden="false" customHeight="true" outlineLevel="0" collapsed="false">
      <c r="A110" s="19"/>
      <c r="B110" s="20"/>
      <c r="C110" s="19"/>
      <c r="D110" s="19"/>
      <c r="E110" s="19"/>
      <c r="F110" s="19"/>
      <c r="G110" s="19"/>
      <c r="H110" s="19"/>
      <c r="I110" s="19"/>
      <c r="J110" s="19"/>
      <c r="K110" s="19"/>
      <c r="L110" s="19"/>
    </row>
    <row r="111" customFormat="false" ht="15" hidden="false" customHeight="true" outlineLevel="0" collapsed="false">
      <c r="A111" s="19"/>
      <c r="B111" s="20"/>
      <c r="C111" s="19"/>
      <c r="D111" s="19"/>
      <c r="E111" s="19"/>
      <c r="F111" s="19"/>
      <c r="G111" s="19"/>
      <c r="H111" s="19"/>
      <c r="I111" s="19"/>
      <c r="J111" s="19"/>
      <c r="K111" s="19"/>
      <c r="L111" s="19"/>
    </row>
    <row r="112" customFormat="false" ht="15" hidden="false" customHeight="true" outlineLevel="0" collapsed="false">
      <c r="A112" s="19"/>
      <c r="B112" s="20"/>
      <c r="C112" s="19"/>
      <c r="D112" s="19"/>
      <c r="E112" s="19"/>
      <c r="F112" s="19"/>
      <c r="G112" s="19"/>
      <c r="H112" s="19"/>
      <c r="I112" s="19"/>
      <c r="J112" s="19"/>
      <c r="K112" s="19"/>
      <c r="L112" s="19"/>
    </row>
    <row r="113" customFormat="false" ht="15" hidden="false" customHeight="true" outlineLevel="0" collapsed="false">
      <c r="A113" s="19"/>
      <c r="B113" s="20"/>
      <c r="C113" s="19"/>
      <c r="D113" s="19"/>
      <c r="E113" s="19"/>
      <c r="F113" s="19"/>
      <c r="G113" s="19"/>
      <c r="H113" s="19"/>
      <c r="I113" s="19"/>
      <c r="J113" s="19"/>
      <c r="K113" s="19"/>
      <c r="L113" s="19"/>
    </row>
    <row r="114" customFormat="false" ht="15" hidden="false" customHeight="true" outlineLevel="0" collapsed="false">
      <c r="A114" s="19"/>
      <c r="B114" s="20"/>
      <c r="C114" s="19"/>
      <c r="D114" s="19"/>
      <c r="E114" s="19"/>
      <c r="F114" s="19"/>
      <c r="G114" s="19"/>
      <c r="H114" s="19"/>
      <c r="I114" s="19"/>
      <c r="J114" s="19"/>
      <c r="K114" s="19"/>
      <c r="L114" s="19"/>
    </row>
    <row r="115" customFormat="false" ht="15" hidden="false" customHeight="true" outlineLevel="0" collapsed="false">
      <c r="A115" s="19"/>
      <c r="B115" s="20"/>
      <c r="C115" s="19"/>
      <c r="D115" s="19"/>
      <c r="E115" s="19"/>
      <c r="F115" s="19"/>
      <c r="G115" s="19"/>
      <c r="H115" s="19"/>
      <c r="I115" s="19"/>
      <c r="J115" s="19"/>
      <c r="K115" s="19"/>
      <c r="L115" s="19"/>
    </row>
    <row r="116" customFormat="false" ht="15" hidden="false" customHeight="true" outlineLevel="0" collapsed="false">
      <c r="A116" s="19"/>
      <c r="B116" s="20"/>
      <c r="C116" s="19"/>
      <c r="D116" s="19"/>
      <c r="E116" s="19"/>
      <c r="F116" s="19"/>
      <c r="G116" s="19"/>
      <c r="H116" s="19"/>
      <c r="I116" s="19"/>
      <c r="J116" s="19"/>
      <c r="K116" s="19"/>
      <c r="L116" s="19"/>
    </row>
    <row r="117" customFormat="false" ht="15" hidden="false" customHeight="true" outlineLevel="0" collapsed="false">
      <c r="A117" s="19"/>
      <c r="B117" s="20"/>
      <c r="C117" s="19"/>
      <c r="D117" s="19"/>
      <c r="E117" s="19"/>
      <c r="F117" s="19"/>
      <c r="G117" s="19"/>
      <c r="H117" s="19"/>
      <c r="I117" s="19"/>
      <c r="J117" s="19"/>
      <c r="K117" s="19"/>
      <c r="L117" s="19"/>
    </row>
    <row r="118" customFormat="false" ht="15" hidden="false" customHeight="true" outlineLevel="0" collapsed="false">
      <c r="A118" s="19"/>
      <c r="B118" s="20"/>
      <c r="C118" s="19"/>
      <c r="D118" s="19"/>
      <c r="E118" s="19"/>
      <c r="F118" s="19"/>
      <c r="G118" s="19"/>
      <c r="H118" s="19"/>
      <c r="I118" s="19"/>
      <c r="J118" s="19"/>
      <c r="K118" s="19"/>
      <c r="L118" s="19"/>
    </row>
    <row r="119" customFormat="false" ht="15" hidden="false" customHeight="true" outlineLevel="0" collapsed="false">
      <c r="A119" s="19"/>
      <c r="B119" s="20"/>
      <c r="C119" s="19"/>
      <c r="D119" s="19"/>
      <c r="E119" s="19"/>
      <c r="F119" s="19"/>
      <c r="G119" s="19"/>
      <c r="H119" s="19"/>
      <c r="I119" s="19"/>
      <c r="J119" s="19"/>
      <c r="K119" s="19"/>
      <c r="L119" s="19"/>
    </row>
    <row r="120" customFormat="false" ht="15" hidden="false" customHeight="true" outlineLevel="0" collapsed="false">
      <c r="A120" s="19"/>
      <c r="B120" s="20"/>
      <c r="C120" s="19"/>
      <c r="D120" s="19"/>
      <c r="E120" s="19"/>
      <c r="F120" s="19"/>
      <c r="G120" s="19"/>
      <c r="H120" s="19"/>
      <c r="I120" s="19"/>
      <c r="J120" s="19"/>
      <c r="K120" s="19"/>
      <c r="L120" s="19"/>
    </row>
    <row r="121" customFormat="false" ht="15" hidden="false" customHeight="true" outlineLevel="0" collapsed="false">
      <c r="A121" s="19"/>
      <c r="B121" s="20"/>
      <c r="C121" s="19"/>
      <c r="D121" s="19"/>
      <c r="E121" s="19"/>
      <c r="F121" s="19"/>
      <c r="G121" s="19"/>
      <c r="H121" s="19"/>
      <c r="I121" s="19"/>
      <c r="J121" s="19"/>
      <c r="K121" s="19"/>
      <c r="L121" s="19"/>
    </row>
    <row r="122" customFormat="false" ht="15" hidden="false" customHeight="true" outlineLevel="0" collapsed="false">
      <c r="A122" s="19"/>
      <c r="B122" s="20"/>
      <c r="C122" s="19"/>
      <c r="D122" s="19"/>
      <c r="E122" s="19"/>
      <c r="F122" s="19"/>
      <c r="G122" s="19"/>
      <c r="H122" s="19"/>
      <c r="I122" s="19"/>
      <c r="J122" s="19"/>
      <c r="K122" s="19"/>
      <c r="L122" s="19"/>
    </row>
    <row r="123" customFormat="false" ht="15" hidden="false" customHeight="true" outlineLevel="0" collapsed="false">
      <c r="A123" s="19"/>
      <c r="B123" s="20"/>
      <c r="C123" s="19"/>
      <c r="D123" s="19"/>
      <c r="E123" s="19"/>
      <c r="F123" s="19"/>
      <c r="G123" s="19"/>
      <c r="H123" s="19"/>
      <c r="I123" s="19"/>
      <c r="J123" s="19"/>
      <c r="K123" s="19"/>
      <c r="L123" s="19"/>
    </row>
    <row r="124" customFormat="false" ht="15" hidden="false" customHeight="true" outlineLevel="0" collapsed="false">
      <c r="A124" s="19"/>
      <c r="B124" s="20"/>
      <c r="C124" s="19"/>
      <c r="D124" s="19"/>
      <c r="E124" s="19"/>
      <c r="F124" s="19"/>
      <c r="G124" s="19"/>
      <c r="H124" s="19"/>
      <c r="I124" s="19"/>
      <c r="J124" s="19"/>
      <c r="K124" s="19"/>
      <c r="L124" s="19"/>
    </row>
    <row r="125" customFormat="false" ht="15" hidden="false" customHeight="true" outlineLevel="0" collapsed="false">
      <c r="A125" s="19"/>
      <c r="B125" s="20"/>
      <c r="C125" s="19"/>
      <c r="D125" s="19"/>
      <c r="E125" s="19"/>
      <c r="F125" s="19"/>
      <c r="G125" s="19"/>
      <c r="H125" s="19"/>
      <c r="I125" s="19"/>
      <c r="J125" s="19"/>
      <c r="K125" s="19"/>
      <c r="L125" s="19"/>
    </row>
    <row r="126" customFormat="false" ht="15" hidden="false" customHeight="true" outlineLevel="0" collapsed="false">
      <c r="A126" s="19"/>
      <c r="B126" s="20"/>
      <c r="C126" s="19"/>
      <c r="D126" s="19"/>
      <c r="E126" s="19"/>
      <c r="F126" s="19"/>
      <c r="G126" s="19"/>
      <c r="H126" s="19"/>
      <c r="I126" s="19"/>
      <c r="J126" s="19"/>
      <c r="K126" s="19"/>
      <c r="L126" s="19"/>
    </row>
    <row r="127" customFormat="false" ht="15" hidden="false" customHeight="true" outlineLevel="0" collapsed="false">
      <c r="A127" s="19"/>
      <c r="B127" s="20"/>
      <c r="C127" s="19"/>
      <c r="D127" s="19"/>
      <c r="E127" s="19"/>
      <c r="F127" s="19"/>
      <c r="G127" s="19"/>
      <c r="H127" s="19"/>
      <c r="I127" s="19"/>
      <c r="J127" s="19"/>
      <c r="K127" s="19"/>
      <c r="L127" s="19"/>
    </row>
    <row r="128" customFormat="false" ht="15" hidden="false" customHeight="true" outlineLevel="0" collapsed="false">
      <c r="A128" s="19"/>
      <c r="B128" s="20"/>
      <c r="C128" s="19"/>
      <c r="D128" s="19"/>
      <c r="E128" s="19"/>
      <c r="F128" s="19"/>
      <c r="G128" s="19"/>
      <c r="H128" s="19"/>
      <c r="I128" s="19"/>
      <c r="J128" s="19"/>
      <c r="K128" s="19"/>
      <c r="L128" s="19"/>
    </row>
    <row r="129" customFormat="false" ht="15" hidden="false" customHeight="true" outlineLevel="0" collapsed="false">
      <c r="A129" s="19"/>
      <c r="B129" s="20"/>
      <c r="C129" s="19"/>
      <c r="D129" s="19"/>
      <c r="E129" s="19"/>
      <c r="F129" s="19"/>
      <c r="G129" s="19"/>
      <c r="H129" s="19"/>
      <c r="I129" s="19"/>
      <c r="J129" s="19"/>
      <c r="K129" s="19"/>
      <c r="L129" s="19"/>
    </row>
    <row r="130" customFormat="false" ht="15" hidden="false" customHeight="true" outlineLevel="0" collapsed="false">
      <c r="A130" s="19"/>
      <c r="B130" s="20"/>
      <c r="C130" s="19"/>
      <c r="D130" s="19"/>
      <c r="E130" s="19"/>
      <c r="F130" s="19"/>
      <c r="G130" s="19"/>
      <c r="H130" s="19"/>
      <c r="I130" s="19"/>
      <c r="J130" s="19"/>
      <c r="K130" s="19"/>
      <c r="L130" s="19"/>
    </row>
    <row r="131" customFormat="false" ht="15" hidden="false" customHeight="true" outlineLevel="0" collapsed="false">
      <c r="A131" s="19"/>
      <c r="B131" s="20"/>
      <c r="C131" s="19"/>
      <c r="D131" s="19"/>
      <c r="E131" s="19"/>
      <c r="F131" s="19"/>
      <c r="G131" s="19"/>
      <c r="H131" s="19"/>
      <c r="I131" s="19"/>
      <c r="J131" s="19"/>
      <c r="K131" s="19"/>
      <c r="L131" s="19"/>
    </row>
    <row r="132" customFormat="false" ht="15" hidden="false" customHeight="true" outlineLevel="0" collapsed="false">
      <c r="A132" s="19"/>
      <c r="B132" s="20"/>
      <c r="C132" s="19"/>
      <c r="D132" s="19"/>
      <c r="E132" s="19"/>
      <c r="F132" s="19"/>
      <c r="G132" s="19"/>
      <c r="H132" s="19"/>
      <c r="I132" s="19"/>
      <c r="J132" s="19"/>
      <c r="K132" s="19"/>
      <c r="L132" s="19"/>
    </row>
    <row r="133" customFormat="false" ht="15" hidden="false" customHeight="true" outlineLevel="0" collapsed="false">
      <c r="A133" s="19"/>
      <c r="B133" s="20"/>
      <c r="C133" s="19"/>
      <c r="D133" s="19"/>
      <c r="E133" s="19"/>
      <c r="F133" s="19"/>
      <c r="G133" s="19"/>
      <c r="H133" s="19"/>
      <c r="I133" s="19"/>
      <c r="J133" s="19"/>
      <c r="K133" s="19"/>
      <c r="L133" s="19"/>
    </row>
    <row r="134" customFormat="false" ht="15" hidden="false" customHeight="true" outlineLevel="0" collapsed="false">
      <c r="A134" s="19"/>
      <c r="B134" s="20"/>
      <c r="C134" s="19"/>
      <c r="D134" s="19"/>
      <c r="E134" s="19"/>
      <c r="F134" s="19"/>
      <c r="G134" s="19"/>
      <c r="H134" s="19"/>
      <c r="I134" s="19"/>
      <c r="J134" s="19"/>
      <c r="K134" s="19"/>
      <c r="L134" s="19"/>
    </row>
    <row r="135" customFormat="false" ht="15" hidden="false" customHeight="true" outlineLevel="0" collapsed="false">
      <c r="A135" s="19"/>
      <c r="B135" s="20"/>
      <c r="C135" s="19"/>
      <c r="D135" s="19"/>
      <c r="E135" s="19"/>
      <c r="F135" s="19"/>
      <c r="G135" s="19"/>
      <c r="H135" s="19"/>
      <c r="I135" s="19"/>
      <c r="J135" s="19"/>
      <c r="K135" s="19"/>
      <c r="L135" s="19"/>
    </row>
    <row r="136" customFormat="false" ht="15" hidden="false" customHeight="true" outlineLevel="0" collapsed="false">
      <c r="A136" s="19"/>
      <c r="B136" s="20"/>
      <c r="C136" s="19"/>
      <c r="D136" s="19"/>
      <c r="E136" s="19"/>
      <c r="F136" s="19"/>
      <c r="G136" s="19"/>
      <c r="H136" s="19"/>
      <c r="I136" s="19"/>
      <c r="J136" s="19"/>
      <c r="K136" s="19"/>
      <c r="L136" s="19"/>
    </row>
    <row r="137" customFormat="false" ht="15" hidden="false" customHeight="true" outlineLevel="0" collapsed="false">
      <c r="A137" s="19"/>
      <c r="B137" s="20"/>
      <c r="C137" s="19"/>
      <c r="D137" s="19"/>
      <c r="E137" s="19"/>
      <c r="F137" s="19"/>
      <c r="G137" s="19"/>
      <c r="H137" s="19"/>
      <c r="I137" s="19"/>
      <c r="J137" s="19"/>
      <c r="K137" s="19"/>
      <c r="L137" s="19"/>
    </row>
    <row r="138" customFormat="false" ht="15" hidden="false" customHeight="true" outlineLevel="0" collapsed="false">
      <c r="A138" s="19"/>
      <c r="B138" s="20"/>
      <c r="C138" s="19"/>
      <c r="D138" s="19"/>
      <c r="E138" s="19"/>
      <c r="F138" s="19"/>
      <c r="G138" s="19"/>
      <c r="H138" s="19"/>
      <c r="I138" s="19"/>
      <c r="J138" s="19"/>
      <c r="K138" s="19"/>
      <c r="L138" s="19"/>
    </row>
    <row r="139" customFormat="false" ht="15" hidden="false" customHeight="true" outlineLevel="0" collapsed="false">
      <c r="A139" s="19"/>
      <c r="B139" s="20"/>
      <c r="C139" s="19"/>
      <c r="D139" s="19"/>
      <c r="E139" s="19"/>
      <c r="F139" s="19"/>
      <c r="G139" s="19"/>
      <c r="H139" s="19"/>
      <c r="I139" s="19"/>
      <c r="J139" s="19"/>
      <c r="K139" s="19"/>
      <c r="L139" s="19"/>
    </row>
    <row r="140" customFormat="false" ht="15" hidden="false" customHeight="true" outlineLevel="0" collapsed="false">
      <c r="A140" s="19"/>
      <c r="B140" s="20"/>
      <c r="C140" s="19"/>
      <c r="D140" s="19"/>
      <c r="E140" s="19"/>
      <c r="F140" s="19"/>
      <c r="G140" s="19"/>
      <c r="H140" s="19"/>
      <c r="I140" s="19"/>
      <c r="J140" s="19"/>
      <c r="K140" s="19"/>
      <c r="L140" s="19"/>
    </row>
    <row r="141" customFormat="false" ht="15" hidden="false" customHeight="true" outlineLevel="0" collapsed="false">
      <c r="A141" s="19"/>
      <c r="B141" s="20"/>
      <c r="C141" s="19"/>
      <c r="D141" s="19"/>
      <c r="E141" s="19"/>
      <c r="F141" s="19"/>
      <c r="G141" s="19"/>
      <c r="H141" s="19"/>
      <c r="I141" s="19"/>
      <c r="J141" s="19"/>
      <c r="K141" s="19"/>
      <c r="L141" s="19"/>
    </row>
    <row r="142" customFormat="false" ht="15" hidden="false" customHeight="true" outlineLevel="0" collapsed="false">
      <c r="A142" s="19"/>
      <c r="B142" s="20"/>
      <c r="C142" s="19"/>
      <c r="D142" s="19"/>
      <c r="E142" s="19"/>
      <c r="F142" s="19"/>
      <c r="G142" s="19"/>
      <c r="H142" s="19"/>
      <c r="I142" s="19"/>
      <c r="J142" s="19"/>
      <c r="K142" s="19"/>
      <c r="L142" s="19"/>
    </row>
    <row r="143" customFormat="false" ht="15" hidden="false" customHeight="true" outlineLevel="0" collapsed="false">
      <c r="A143" s="19"/>
      <c r="B143" s="20"/>
      <c r="C143" s="19"/>
      <c r="D143" s="19"/>
      <c r="E143" s="19"/>
      <c r="F143" s="19"/>
      <c r="G143" s="19"/>
      <c r="H143" s="19"/>
      <c r="I143" s="19"/>
      <c r="J143" s="19"/>
      <c r="K143" s="19"/>
      <c r="L143" s="19"/>
    </row>
    <row r="144" customFormat="false" ht="15" hidden="false" customHeight="true" outlineLevel="0" collapsed="false">
      <c r="A144" s="19"/>
      <c r="B144" s="20"/>
      <c r="C144" s="19"/>
      <c r="D144" s="19"/>
      <c r="E144" s="19"/>
      <c r="F144" s="19"/>
      <c r="G144" s="19"/>
      <c r="H144" s="19"/>
      <c r="I144" s="19"/>
      <c r="J144" s="19"/>
      <c r="K144" s="19"/>
      <c r="L144" s="19"/>
    </row>
    <row r="145" customFormat="false" ht="15" hidden="false" customHeight="true" outlineLevel="0" collapsed="false">
      <c r="A145" s="19"/>
      <c r="B145" s="20"/>
      <c r="C145" s="19"/>
      <c r="D145" s="19"/>
      <c r="E145" s="19"/>
      <c r="F145" s="19"/>
      <c r="G145" s="19"/>
      <c r="H145" s="19"/>
      <c r="I145" s="19"/>
      <c r="J145" s="19"/>
      <c r="K145" s="19"/>
      <c r="L145" s="19"/>
    </row>
    <row r="146" customFormat="false" ht="15" hidden="false" customHeight="true" outlineLevel="0" collapsed="false">
      <c r="A146" s="19"/>
      <c r="B146" s="20"/>
      <c r="C146" s="19"/>
      <c r="D146" s="19"/>
      <c r="E146" s="19"/>
      <c r="F146" s="19"/>
      <c r="G146" s="19"/>
      <c r="H146" s="19"/>
      <c r="I146" s="19"/>
      <c r="J146" s="19"/>
      <c r="K146" s="19"/>
      <c r="L146" s="19"/>
    </row>
    <row r="147" customFormat="false" ht="15" hidden="false" customHeight="true" outlineLevel="0" collapsed="false">
      <c r="A147" s="19"/>
      <c r="B147" s="20"/>
      <c r="C147" s="19"/>
      <c r="D147" s="19"/>
      <c r="E147" s="19"/>
      <c r="F147" s="19"/>
      <c r="G147" s="19"/>
      <c r="H147" s="19"/>
      <c r="I147" s="19"/>
      <c r="J147" s="19"/>
      <c r="K147" s="19"/>
      <c r="L147" s="19"/>
    </row>
    <row r="148" customFormat="false" ht="15" hidden="false" customHeight="true" outlineLevel="0" collapsed="false">
      <c r="A148" s="19"/>
      <c r="B148" s="20"/>
      <c r="C148" s="19"/>
      <c r="D148" s="19"/>
      <c r="E148" s="19"/>
      <c r="F148" s="19"/>
      <c r="G148" s="19"/>
      <c r="H148" s="19"/>
      <c r="I148" s="19"/>
      <c r="J148" s="19"/>
      <c r="K148" s="19"/>
      <c r="L148" s="19"/>
    </row>
    <row r="149" customFormat="false" ht="15" hidden="false" customHeight="true" outlineLevel="0" collapsed="false">
      <c r="A149" s="19"/>
      <c r="B149" s="20"/>
      <c r="C149" s="19"/>
      <c r="D149" s="19"/>
      <c r="E149" s="19"/>
      <c r="F149" s="19"/>
      <c r="G149" s="19"/>
      <c r="H149" s="19"/>
      <c r="I149" s="19"/>
      <c r="J149" s="19"/>
      <c r="K149" s="19"/>
      <c r="L149" s="19"/>
    </row>
    <row r="150" customFormat="false" ht="15" hidden="false" customHeight="true" outlineLevel="0" collapsed="false">
      <c r="A150" s="19"/>
      <c r="B150" s="20"/>
      <c r="C150" s="19"/>
      <c r="D150" s="19"/>
      <c r="E150" s="19"/>
      <c r="F150" s="19"/>
      <c r="G150" s="19"/>
      <c r="H150" s="19"/>
      <c r="I150" s="19"/>
      <c r="J150" s="19"/>
      <c r="K150" s="19"/>
      <c r="L150" s="19"/>
    </row>
    <row r="151" customFormat="false" ht="15" hidden="false" customHeight="true" outlineLevel="0" collapsed="false">
      <c r="A151" s="19"/>
      <c r="B151" s="20"/>
      <c r="C151" s="19"/>
      <c r="D151" s="19"/>
      <c r="E151" s="19"/>
      <c r="F151" s="19"/>
      <c r="G151" s="19"/>
      <c r="H151" s="19"/>
      <c r="I151" s="19"/>
      <c r="J151" s="19"/>
      <c r="K151" s="19"/>
      <c r="L151" s="19"/>
    </row>
    <row r="152" customFormat="false" ht="15" hidden="false" customHeight="true" outlineLevel="0" collapsed="false">
      <c r="A152" s="19"/>
      <c r="B152" s="20"/>
      <c r="C152" s="19"/>
      <c r="D152" s="19"/>
      <c r="E152" s="19"/>
      <c r="F152" s="19"/>
      <c r="G152" s="19"/>
      <c r="H152" s="19"/>
      <c r="I152" s="19"/>
      <c r="J152" s="19"/>
      <c r="K152" s="19"/>
      <c r="L152" s="19"/>
    </row>
    <row r="153" customFormat="false" ht="15" hidden="false" customHeight="true" outlineLevel="0" collapsed="false">
      <c r="A153" s="19"/>
      <c r="B153" s="20"/>
      <c r="C153" s="19"/>
      <c r="D153" s="19"/>
      <c r="E153" s="19"/>
      <c r="F153" s="19"/>
      <c r="G153" s="19"/>
      <c r="H153" s="19"/>
      <c r="I153" s="19"/>
      <c r="J153" s="19"/>
      <c r="K153" s="19"/>
      <c r="L153" s="19"/>
    </row>
    <row r="154" customFormat="false" ht="15" hidden="false" customHeight="true" outlineLevel="0" collapsed="false">
      <c r="A154" s="19"/>
      <c r="B154" s="20"/>
      <c r="C154" s="19"/>
      <c r="D154" s="19"/>
      <c r="E154" s="19"/>
      <c r="F154" s="19"/>
      <c r="G154" s="19"/>
      <c r="H154" s="19"/>
      <c r="I154" s="19"/>
      <c r="J154" s="19"/>
      <c r="K154" s="19"/>
      <c r="L154" s="19"/>
    </row>
    <row r="155" customFormat="false" ht="15" hidden="false" customHeight="true" outlineLevel="0" collapsed="false">
      <c r="A155" s="19"/>
      <c r="B155" s="20"/>
      <c r="C155" s="19"/>
      <c r="D155" s="19"/>
      <c r="E155" s="19"/>
      <c r="F155" s="19"/>
      <c r="G155" s="19"/>
      <c r="H155" s="19"/>
      <c r="I155" s="19"/>
      <c r="J155" s="19"/>
      <c r="K155" s="19"/>
      <c r="L155" s="19"/>
    </row>
    <row r="156" customFormat="false" ht="15" hidden="false" customHeight="true" outlineLevel="0" collapsed="false">
      <c r="A156" s="19"/>
      <c r="B156" s="20"/>
      <c r="C156" s="19"/>
      <c r="D156" s="19"/>
      <c r="E156" s="19"/>
      <c r="F156" s="19"/>
      <c r="G156" s="19"/>
      <c r="H156" s="19"/>
      <c r="I156" s="19"/>
      <c r="J156" s="19"/>
      <c r="K156" s="19"/>
      <c r="L156" s="19"/>
    </row>
    <row r="157" customFormat="false" ht="15" hidden="false" customHeight="true" outlineLevel="0" collapsed="false">
      <c r="A157" s="19"/>
      <c r="B157" s="20"/>
      <c r="C157" s="19"/>
      <c r="D157" s="19"/>
      <c r="E157" s="19"/>
      <c r="F157" s="19"/>
      <c r="G157" s="19"/>
      <c r="H157" s="19"/>
      <c r="I157" s="19"/>
      <c r="J157" s="19"/>
      <c r="K157" s="19"/>
      <c r="L157" s="19"/>
    </row>
    <row r="158" customFormat="false" ht="15" hidden="false" customHeight="true" outlineLevel="0" collapsed="false">
      <c r="A158" s="19"/>
      <c r="B158" s="20"/>
      <c r="C158" s="19"/>
      <c r="D158" s="19"/>
      <c r="E158" s="19"/>
      <c r="F158" s="19"/>
      <c r="G158" s="19"/>
      <c r="H158" s="19"/>
      <c r="I158" s="19"/>
      <c r="J158" s="19"/>
      <c r="K158" s="19"/>
      <c r="L158" s="19"/>
    </row>
    <row r="159" customFormat="false" ht="15" hidden="false" customHeight="true" outlineLevel="0" collapsed="false">
      <c r="A159" s="19"/>
      <c r="B159" s="20"/>
      <c r="C159" s="19"/>
      <c r="D159" s="19"/>
      <c r="E159" s="19"/>
      <c r="F159" s="19"/>
      <c r="G159" s="19"/>
      <c r="H159" s="19"/>
      <c r="I159" s="19"/>
      <c r="J159" s="19"/>
      <c r="K159" s="19"/>
      <c r="L159" s="19"/>
    </row>
    <row r="160" customFormat="false" ht="15" hidden="false" customHeight="true" outlineLevel="0" collapsed="false">
      <c r="A160" s="19"/>
      <c r="B160" s="20"/>
      <c r="C160" s="19"/>
      <c r="D160" s="19"/>
      <c r="E160" s="19"/>
      <c r="F160" s="19"/>
      <c r="G160" s="19"/>
      <c r="H160" s="19"/>
      <c r="I160" s="19"/>
      <c r="J160" s="19"/>
      <c r="K160" s="19"/>
      <c r="L160" s="19"/>
    </row>
    <row r="161" customFormat="false" ht="15" hidden="false" customHeight="true" outlineLevel="0" collapsed="false">
      <c r="A161" s="19"/>
      <c r="B161" s="20"/>
      <c r="C161" s="19"/>
      <c r="D161" s="19"/>
      <c r="E161" s="19"/>
      <c r="F161" s="19"/>
      <c r="G161" s="19"/>
      <c r="H161" s="19"/>
      <c r="I161" s="19"/>
      <c r="J161" s="19"/>
      <c r="K161" s="19"/>
      <c r="L161" s="19"/>
    </row>
    <row r="162" customFormat="false" ht="15" hidden="false" customHeight="true" outlineLevel="0" collapsed="false">
      <c r="A162" s="19"/>
      <c r="B162" s="20"/>
      <c r="C162" s="19"/>
      <c r="D162" s="19"/>
      <c r="E162" s="19"/>
      <c r="F162" s="19"/>
      <c r="G162" s="19"/>
      <c r="H162" s="19"/>
      <c r="I162" s="19"/>
      <c r="J162" s="19"/>
      <c r="K162" s="19"/>
      <c r="L162" s="19"/>
    </row>
    <row r="163" customFormat="false" ht="15" hidden="false" customHeight="true" outlineLevel="0" collapsed="false">
      <c r="A163" s="19"/>
      <c r="B163" s="20"/>
      <c r="C163" s="19"/>
      <c r="D163" s="19"/>
      <c r="E163" s="19"/>
      <c r="F163" s="19"/>
      <c r="G163" s="19"/>
      <c r="H163" s="19"/>
      <c r="I163" s="19"/>
      <c r="J163" s="19"/>
      <c r="K163" s="19"/>
      <c r="L163" s="19"/>
    </row>
    <row r="164" customFormat="false" ht="15" hidden="false" customHeight="true" outlineLevel="0" collapsed="false">
      <c r="A164" s="19"/>
      <c r="B164" s="20"/>
      <c r="C164" s="19"/>
      <c r="D164" s="19"/>
      <c r="E164" s="19"/>
      <c r="F164" s="19"/>
      <c r="G164" s="19"/>
      <c r="H164" s="19"/>
      <c r="I164" s="19"/>
      <c r="J164" s="19"/>
      <c r="K164" s="19"/>
      <c r="L164" s="19"/>
    </row>
    <row r="165" customFormat="false" ht="15" hidden="false" customHeight="true" outlineLevel="0" collapsed="false">
      <c r="A165" s="19"/>
      <c r="B165" s="20"/>
      <c r="C165" s="19"/>
      <c r="D165" s="19"/>
      <c r="E165" s="19"/>
      <c r="F165" s="19"/>
      <c r="G165" s="19"/>
      <c r="H165" s="19"/>
      <c r="I165" s="19"/>
      <c r="J165" s="19"/>
      <c r="K165" s="19"/>
      <c r="L165" s="19"/>
    </row>
    <row r="166" customFormat="false" ht="15" hidden="false" customHeight="true" outlineLevel="0" collapsed="false">
      <c r="A166" s="19"/>
      <c r="B166" s="20"/>
      <c r="C166" s="19"/>
      <c r="D166" s="19"/>
      <c r="E166" s="19"/>
      <c r="F166" s="19"/>
      <c r="G166" s="19"/>
      <c r="H166" s="19"/>
      <c r="I166" s="19"/>
      <c r="J166" s="19"/>
      <c r="K166" s="19"/>
      <c r="L166" s="19"/>
    </row>
    <row r="167" customFormat="false" ht="15" hidden="false" customHeight="true" outlineLevel="0" collapsed="false">
      <c r="A167" s="19"/>
      <c r="B167" s="20"/>
      <c r="C167" s="19"/>
      <c r="D167" s="19"/>
      <c r="E167" s="19"/>
      <c r="F167" s="19"/>
      <c r="G167" s="19"/>
      <c r="H167" s="19"/>
      <c r="I167" s="19"/>
      <c r="J167" s="19"/>
      <c r="K167" s="19"/>
      <c r="L167" s="19"/>
    </row>
    <row r="168" customFormat="false" ht="15" hidden="false" customHeight="true" outlineLevel="0" collapsed="false">
      <c r="A168" s="19"/>
      <c r="B168" s="20"/>
      <c r="C168" s="19"/>
      <c r="D168" s="19"/>
      <c r="E168" s="19"/>
      <c r="F168" s="19"/>
      <c r="G168" s="19"/>
      <c r="H168" s="19"/>
      <c r="I168" s="19"/>
      <c r="J168" s="19"/>
      <c r="K168" s="19"/>
      <c r="L168" s="19"/>
    </row>
    <row r="169" customFormat="false" ht="15" hidden="false" customHeight="true" outlineLevel="0" collapsed="false">
      <c r="A169" s="19"/>
      <c r="B169" s="20"/>
      <c r="C169" s="19"/>
      <c r="D169" s="19"/>
      <c r="E169" s="19"/>
      <c r="F169" s="19"/>
      <c r="G169" s="19"/>
      <c r="H169" s="19"/>
      <c r="I169" s="19"/>
      <c r="J169" s="19"/>
      <c r="K169" s="19"/>
      <c r="L169" s="19"/>
    </row>
    <row r="170" customFormat="false" ht="15" hidden="false" customHeight="true" outlineLevel="0" collapsed="false">
      <c r="A170" s="19"/>
      <c r="B170" s="20"/>
      <c r="C170" s="19"/>
      <c r="D170" s="19"/>
      <c r="E170" s="19"/>
      <c r="F170" s="19"/>
      <c r="G170" s="19"/>
      <c r="H170" s="19"/>
      <c r="I170" s="19"/>
      <c r="J170" s="19"/>
      <c r="K170" s="19"/>
      <c r="L170" s="19"/>
    </row>
    <row r="171" customFormat="false" ht="15" hidden="false" customHeight="true" outlineLevel="0" collapsed="false">
      <c r="A171" s="19"/>
      <c r="B171" s="20"/>
      <c r="C171" s="19"/>
      <c r="D171" s="19"/>
      <c r="E171" s="19"/>
      <c r="F171" s="19"/>
      <c r="G171" s="19"/>
      <c r="H171" s="19"/>
      <c r="I171" s="19"/>
      <c r="J171" s="19"/>
      <c r="K171" s="19"/>
      <c r="L171" s="19"/>
    </row>
    <row r="172" customFormat="false" ht="15" hidden="false" customHeight="true" outlineLevel="0" collapsed="false">
      <c r="A172" s="19"/>
      <c r="B172" s="20"/>
      <c r="C172" s="19"/>
      <c r="D172" s="19"/>
      <c r="E172" s="19"/>
      <c r="F172" s="19"/>
      <c r="G172" s="19"/>
      <c r="H172" s="19"/>
      <c r="I172" s="19"/>
      <c r="J172" s="19"/>
      <c r="K172" s="19"/>
      <c r="L172" s="19"/>
    </row>
    <row r="173" customFormat="false" ht="15" hidden="false" customHeight="true" outlineLevel="0" collapsed="false">
      <c r="A173" s="19"/>
      <c r="B173" s="20"/>
      <c r="C173" s="19"/>
      <c r="D173" s="19"/>
      <c r="E173" s="19"/>
      <c r="F173" s="19"/>
      <c r="G173" s="19"/>
      <c r="H173" s="19"/>
      <c r="I173" s="19"/>
      <c r="J173" s="19"/>
      <c r="K173" s="19"/>
      <c r="L173" s="19"/>
    </row>
    <row r="174" customFormat="false" ht="15" hidden="false" customHeight="true" outlineLevel="0" collapsed="false">
      <c r="A174" s="19"/>
      <c r="B174" s="20"/>
      <c r="C174" s="19"/>
      <c r="D174" s="19"/>
      <c r="E174" s="19"/>
      <c r="F174" s="19"/>
      <c r="G174" s="19"/>
      <c r="H174" s="19"/>
      <c r="I174" s="19"/>
      <c r="J174" s="19"/>
      <c r="K174" s="19"/>
      <c r="L174" s="19"/>
    </row>
    <row r="175" customFormat="false" ht="15" hidden="false" customHeight="true" outlineLevel="0" collapsed="false">
      <c r="A175" s="19"/>
      <c r="B175" s="20"/>
      <c r="C175" s="19"/>
      <c r="D175" s="19"/>
      <c r="E175" s="19"/>
      <c r="F175" s="19"/>
      <c r="G175" s="19"/>
      <c r="H175" s="19"/>
      <c r="I175" s="19"/>
      <c r="J175" s="19"/>
      <c r="K175" s="19"/>
      <c r="L175" s="19"/>
    </row>
    <row r="176" customFormat="false" ht="15" hidden="false" customHeight="true" outlineLevel="0" collapsed="false">
      <c r="A176" s="19"/>
      <c r="B176" s="20"/>
      <c r="C176" s="19"/>
      <c r="D176" s="19"/>
      <c r="E176" s="19"/>
      <c r="F176" s="19"/>
      <c r="G176" s="19"/>
      <c r="H176" s="19"/>
      <c r="I176" s="19"/>
      <c r="J176" s="19"/>
      <c r="K176" s="19"/>
      <c r="L176" s="19"/>
    </row>
    <row r="177" customFormat="false" ht="15" hidden="false" customHeight="true" outlineLevel="0" collapsed="false">
      <c r="A177" s="19"/>
      <c r="B177" s="20"/>
      <c r="C177" s="19"/>
      <c r="D177" s="19"/>
      <c r="E177" s="19"/>
      <c r="F177" s="19"/>
      <c r="G177" s="19"/>
      <c r="H177" s="19"/>
      <c r="I177" s="19"/>
      <c r="J177" s="19"/>
      <c r="K177" s="19"/>
      <c r="L177" s="19"/>
    </row>
    <row r="178" customFormat="false" ht="15" hidden="false" customHeight="true" outlineLevel="0" collapsed="false">
      <c r="A178" s="19"/>
      <c r="B178" s="20"/>
      <c r="C178" s="19"/>
      <c r="D178" s="19"/>
      <c r="E178" s="19"/>
      <c r="F178" s="19"/>
      <c r="G178" s="19"/>
      <c r="H178" s="19"/>
      <c r="I178" s="19"/>
      <c r="J178" s="19"/>
      <c r="K178" s="19"/>
      <c r="L178" s="19"/>
    </row>
    <row r="179" customFormat="false" ht="15" hidden="false" customHeight="true" outlineLevel="0" collapsed="false">
      <c r="A179" s="19"/>
      <c r="B179" s="20"/>
      <c r="C179" s="19"/>
      <c r="D179" s="19"/>
      <c r="E179" s="19"/>
      <c r="F179" s="19"/>
      <c r="G179" s="19"/>
      <c r="H179" s="19"/>
      <c r="I179" s="19"/>
      <c r="J179" s="19"/>
      <c r="K179" s="19"/>
      <c r="L179" s="19"/>
    </row>
    <row r="180" customFormat="false" ht="15" hidden="false" customHeight="true" outlineLevel="0" collapsed="false">
      <c r="A180" s="19"/>
      <c r="B180" s="20"/>
      <c r="C180" s="19"/>
      <c r="D180" s="19"/>
      <c r="E180" s="19"/>
      <c r="F180" s="19"/>
      <c r="G180" s="19"/>
      <c r="H180" s="19"/>
      <c r="I180" s="19"/>
      <c r="J180" s="19"/>
      <c r="K180" s="19"/>
      <c r="L180" s="19"/>
    </row>
    <row r="181" customFormat="false" ht="15" hidden="false" customHeight="true" outlineLevel="0" collapsed="false">
      <c r="A181" s="19"/>
      <c r="B181" s="20"/>
      <c r="C181" s="19"/>
      <c r="D181" s="19"/>
      <c r="E181" s="19"/>
      <c r="F181" s="19"/>
      <c r="G181" s="19"/>
      <c r="H181" s="19"/>
      <c r="I181" s="19"/>
      <c r="J181" s="19"/>
      <c r="K181" s="19"/>
      <c r="L181" s="19"/>
    </row>
    <row r="182" customFormat="false" ht="15" hidden="false" customHeight="true" outlineLevel="0" collapsed="false">
      <c r="A182" s="19"/>
      <c r="B182" s="20"/>
      <c r="C182" s="19"/>
      <c r="D182" s="19"/>
      <c r="E182" s="19"/>
      <c r="F182" s="19"/>
      <c r="G182" s="19"/>
      <c r="H182" s="19"/>
      <c r="I182" s="19"/>
      <c r="J182" s="19"/>
      <c r="K182" s="19"/>
      <c r="L182" s="19"/>
    </row>
    <row r="183" customFormat="false" ht="15" hidden="false" customHeight="true" outlineLevel="0" collapsed="false">
      <c r="A183" s="19"/>
      <c r="B183" s="20"/>
      <c r="C183" s="19"/>
      <c r="D183" s="19"/>
      <c r="E183" s="19"/>
      <c r="F183" s="19"/>
      <c r="G183" s="19"/>
      <c r="H183" s="19"/>
      <c r="I183" s="19"/>
      <c r="J183" s="19"/>
      <c r="K183" s="19"/>
      <c r="L183" s="19"/>
    </row>
    <row r="184" customFormat="false" ht="15" hidden="false" customHeight="true" outlineLevel="0" collapsed="false">
      <c r="A184" s="19"/>
      <c r="B184" s="20"/>
      <c r="C184" s="19"/>
      <c r="D184" s="19"/>
      <c r="E184" s="19"/>
      <c r="F184" s="19"/>
      <c r="G184" s="19"/>
      <c r="H184" s="19"/>
      <c r="I184" s="19"/>
      <c r="J184" s="19"/>
      <c r="K184" s="19"/>
      <c r="L184" s="19"/>
    </row>
    <row r="185" customFormat="false" ht="15" hidden="false" customHeight="true" outlineLevel="0" collapsed="false">
      <c r="A185" s="19"/>
      <c r="B185" s="20"/>
      <c r="C185" s="19"/>
      <c r="D185" s="19"/>
      <c r="E185" s="19"/>
      <c r="F185" s="19"/>
      <c r="G185" s="19"/>
      <c r="H185" s="19"/>
      <c r="I185" s="19"/>
      <c r="J185" s="19"/>
      <c r="K185" s="19"/>
      <c r="L185" s="19"/>
    </row>
    <row r="186" customFormat="false" ht="15" hidden="false" customHeight="true" outlineLevel="0" collapsed="false">
      <c r="A186" s="19"/>
      <c r="B186" s="20"/>
      <c r="C186" s="19"/>
      <c r="D186" s="19"/>
      <c r="E186" s="19"/>
      <c r="F186" s="19"/>
      <c r="G186" s="19"/>
      <c r="H186" s="19"/>
      <c r="I186" s="19"/>
      <c r="J186" s="19"/>
      <c r="K186" s="19"/>
      <c r="L186" s="19"/>
    </row>
    <row r="187" customFormat="false" ht="15" hidden="false" customHeight="true" outlineLevel="0" collapsed="false">
      <c r="A187" s="19"/>
      <c r="B187" s="20"/>
      <c r="C187" s="19"/>
      <c r="D187" s="19"/>
      <c r="E187" s="19"/>
      <c r="F187" s="19"/>
      <c r="G187" s="19"/>
      <c r="H187" s="19"/>
      <c r="I187" s="19"/>
      <c r="J187" s="19"/>
      <c r="K187" s="19"/>
      <c r="L187" s="19"/>
    </row>
    <row r="188" customFormat="false" ht="15" hidden="false" customHeight="true" outlineLevel="0" collapsed="false">
      <c r="A188" s="19"/>
      <c r="B188" s="20"/>
      <c r="C188" s="19"/>
      <c r="D188" s="19"/>
      <c r="E188" s="19"/>
      <c r="F188" s="19"/>
      <c r="G188" s="19"/>
      <c r="H188" s="19"/>
      <c r="I188" s="19"/>
      <c r="J188" s="19"/>
      <c r="K188" s="19"/>
      <c r="L188" s="19"/>
    </row>
    <row r="189" customFormat="false" ht="15" hidden="false" customHeight="true" outlineLevel="0" collapsed="false">
      <c r="A189" s="19"/>
      <c r="B189" s="20"/>
      <c r="C189" s="19"/>
      <c r="D189" s="19"/>
      <c r="E189" s="19"/>
      <c r="F189" s="19"/>
      <c r="G189" s="19"/>
      <c r="H189" s="19"/>
      <c r="I189" s="19"/>
      <c r="J189" s="19"/>
      <c r="K189" s="19"/>
      <c r="L189" s="19"/>
    </row>
    <row r="190" customFormat="false" ht="15" hidden="false" customHeight="true" outlineLevel="0" collapsed="false">
      <c r="A190" s="19"/>
      <c r="B190" s="20"/>
      <c r="C190" s="19"/>
      <c r="D190" s="19"/>
      <c r="E190" s="19"/>
      <c r="F190" s="19"/>
      <c r="G190" s="19"/>
      <c r="H190" s="19"/>
      <c r="I190" s="19"/>
      <c r="J190" s="19"/>
      <c r="K190" s="19"/>
      <c r="L190" s="19"/>
    </row>
    <row r="191" customFormat="false" ht="15" hidden="false" customHeight="true" outlineLevel="0" collapsed="false">
      <c r="A191" s="19"/>
      <c r="B191" s="20"/>
      <c r="C191" s="19"/>
      <c r="D191" s="19"/>
      <c r="E191" s="19"/>
      <c r="F191" s="19"/>
      <c r="G191" s="19"/>
      <c r="H191" s="19"/>
      <c r="I191" s="19"/>
      <c r="J191" s="19"/>
      <c r="K191" s="19"/>
      <c r="L191" s="19"/>
    </row>
    <row r="192" customFormat="false" ht="15" hidden="false" customHeight="true" outlineLevel="0" collapsed="false">
      <c r="A192" s="19"/>
      <c r="B192" s="20"/>
      <c r="C192" s="19"/>
      <c r="D192" s="19"/>
      <c r="E192" s="19"/>
      <c r="F192" s="19"/>
      <c r="G192" s="19"/>
      <c r="H192" s="19"/>
      <c r="I192" s="19"/>
      <c r="J192" s="19"/>
      <c r="K192" s="19"/>
      <c r="L192" s="19"/>
    </row>
    <row r="193" customFormat="false" ht="15" hidden="false" customHeight="true" outlineLevel="0" collapsed="false">
      <c r="A193" s="19"/>
      <c r="B193" s="20"/>
      <c r="C193" s="19"/>
      <c r="D193" s="19"/>
      <c r="E193" s="19"/>
      <c r="F193" s="19"/>
      <c r="G193" s="19"/>
      <c r="H193" s="19"/>
      <c r="I193" s="19"/>
      <c r="J193" s="19"/>
      <c r="K193" s="19"/>
      <c r="L193" s="19"/>
    </row>
    <row r="194" customFormat="false" ht="15" hidden="false" customHeight="true" outlineLevel="0" collapsed="false">
      <c r="A194" s="19"/>
      <c r="B194" s="20"/>
      <c r="C194" s="19"/>
      <c r="D194" s="19"/>
      <c r="E194" s="19"/>
      <c r="F194" s="19"/>
      <c r="G194" s="19"/>
      <c r="H194" s="19"/>
      <c r="I194" s="19"/>
      <c r="J194" s="19"/>
      <c r="K194" s="19"/>
      <c r="L194" s="19"/>
    </row>
    <row r="195" customFormat="false" ht="15" hidden="false" customHeight="true" outlineLevel="0" collapsed="false">
      <c r="A195" s="19"/>
      <c r="B195" s="20"/>
      <c r="C195" s="19"/>
      <c r="D195" s="19"/>
      <c r="E195" s="19"/>
      <c r="F195" s="19"/>
      <c r="G195" s="19"/>
      <c r="H195" s="19"/>
      <c r="I195" s="19"/>
      <c r="J195" s="19"/>
      <c r="K195" s="19"/>
      <c r="L195" s="19"/>
    </row>
    <row r="196" customFormat="false" ht="15" hidden="false" customHeight="true" outlineLevel="0" collapsed="false">
      <c r="A196" s="19"/>
      <c r="B196" s="20"/>
      <c r="C196" s="19"/>
      <c r="D196" s="19"/>
      <c r="E196" s="19"/>
      <c r="F196" s="19"/>
      <c r="G196" s="19"/>
      <c r="H196" s="19"/>
      <c r="I196" s="19"/>
      <c r="J196" s="19"/>
      <c r="K196" s="19"/>
      <c r="L196" s="19"/>
    </row>
    <row r="197" customFormat="false" ht="15" hidden="false" customHeight="true" outlineLevel="0" collapsed="false">
      <c r="A197" s="19"/>
      <c r="B197" s="20"/>
      <c r="C197" s="19"/>
      <c r="D197" s="19"/>
      <c r="E197" s="19"/>
      <c r="F197" s="19"/>
      <c r="G197" s="19"/>
      <c r="H197" s="19"/>
      <c r="I197" s="19"/>
      <c r="J197" s="19"/>
      <c r="K197" s="19"/>
      <c r="L197" s="19"/>
    </row>
    <row r="198" customFormat="false" ht="15" hidden="false" customHeight="true" outlineLevel="0" collapsed="false">
      <c r="A198" s="19"/>
      <c r="B198" s="20"/>
      <c r="C198" s="19"/>
      <c r="D198" s="19"/>
      <c r="E198" s="19"/>
      <c r="F198" s="19"/>
      <c r="G198" s="19"/>
      <c r="H198" s="19"/>
      <c r="I198" s="19"/>
      <c r="J198" s="19"/>
      <c r="K198" s="19"/>
      <c r="L198" s="19"/>
    </row>
    <row r="199" customFormat="false" ht="15" hidden="false" customHeight="true" outlineLevel="0" collapsed="false">
      <c r="A199" s="19"/>
      <c r="B199" s="20"/>
      <c r="C199" s="19"/>
      <c r="D199" s="19"/>
      <c r="E199" s="19"/>
      <c r="F199" s="19"/>
      <c r="G199" s="19"/>
      <c r="H199" s="19"/>
      <c r="I199" s="19"/>
      <c r="J199" s="19"/>
      <c r="K199" s="19"/>
      <c r="L199" s="19"/>
    </row>
    <row r="200" customFormat="false" ht="15" hidden="false" customHeight="true" outlineLevel="0" collapsed="false">
      <c r="A200" s="19"/>
      <c r="B200" s="20"/>
      <c r="C200" s="19"/>
      <c r="D200" s="19"/>
      <c r="E200" s="19"/>
      <c r="F200" s="19"/>
      <c r="G200" s="19"/>
      <c r="H200" s="19"/>
      <c r="I200" s="19"/>
      <c r="J200" s="19"/>
      <c r="K200" s="19"/>
      <c r="L200" s="19"/>
    </row>
    <row r="201" customFormat="false" ht="15" hidden="false" customHeight="true" outlineLevel="0" collapsed="false">
      <c r="A201" s="19"/>
      <c r="B201" s="20"/>
      <c r="C201" s="19"/>
      <c r="D201" s="19"/>
      <c r="E201" s="19"/>
      <c r="F201" s="19"/>
      <c r="G201" s="19"/>
      <c r="H201" s="19"/>
      <c r="I201" s="19"/>
      <c r="J201" s="19"/>
      <c r="K201" s="19"/>
      <c r="L201" s="19"/>
    </row>
    <row r="202" customFormat="false" ht="15" hidden="false" customHeight="true" outlineLevel="0" collapsed="false">
      <c r="A202" s="19"/>
      <c r="B202" s="20"/>
      <c r="C202" s="19"/>
      <c r="D202" s="19"/>
      <c r="E202" s="19"/>
      <c r="F202" s="19"/>
      <c r="G202" s="19"/>
      <c r="H202" s="19"/>
      <c r="I202" s="19"/>
      <c r="J202" s="19"/>
      <c r="K202" s="19"/>
      <c r="L202" s="19"/>
    </row>
    <row r="203" customFormat="false" ht="15" hidden="false" customHeight="true" outlineLevel="0" collapsed="false">
      <c r="A203" s="19"/>
      <c r="B203" s="20"/>
      <c r="C203" s="19"/>
      <c r="D203" s="19"/>
      <c r="E203" s="19"/>
      <c r="F203" s="19"/>
      <c r="G203" s="19"/>
      <c r="H203" s="19"/>
      <c r="I203" s="19"/>
      <c r="J203" s="19"/>
      <c r="K203" s="19"/>
      <c r="L203" s="19"/>
    </row>
    <row r="204" customFormat="false" ht="15" hidden="false" customHeight="true" outlineLevel="0" collapsed="false">
      <c r="A204" s="19"/>
      <c r="B204" s="20"/>
      <c r="C204" s="19"/>
      <c r="D204" s="19"/>
      <c r="E204" s="19"/>
      <c r="F204" s="19"/>
      <c r="G204" s="19"/>
      <c r="H204" s="19"/>
      <c r="I204" s="19"/>
      <c r="J204" s="19"/>
      <c r="K204" s="19"/>
      <c r="L204" s="19"/>
    </row>
  </sheetData>
  <autoFilter ref="A4:L204"/>
  <dataValidations count="2">
    <dataValidation allowBlank="true" errorStyle="stop" operator="between" showDropDown="false" showErrorMessage="false" showInputMessage="false" sqref="H5:H204" type="list">
      <formula1>"Critical,High,Medium,Low"</formula1>
      <formula2>0</formula2>
    </dataValidation>
    <dataValidation allowBlank="true" errorStyle="stop" operator="between" showDropDown="false" showErrorMessage="false" showInputMessage="false" sqref="I5:I204" type="list">
      <formula1>"New,In Progress,Fixed,Retest Failed,Reopened,Closed,Rejected"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2026-10-14T14:29:53Z</dcterms:created>
  <dc:creator>openpyxl</dc:creator>
  <dc:description/>
  <dc:language>en-US</dc:language>
  <cp:lastModifiedBy/>
  <dcterms:modified xsi:type="dcterms:W3CDTF">2026-10-16T08:02:25Z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